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13_ncr:1_{7202BC0C-0379-4C09-9003-E65E286E4D2A}" xr6:coauthVersionLast="47" xr6:coauthVersionMax="47" xr10:uidLastSave="{00000000-0000-0000-0000-000000000000}"/>
  <bookViews>
    <workbookView xWindow="-110" yWindow="-110" windowWidth="19420" windowHeight="11020" firstSheet="1" activeTab="4" xr2:uid="{9E7E55BC-E577-445A-AC7E-11207A72E2A6}"/>
  </bookViews>
  <sheets>
    <sheet name="INCOME AND BALANCE SHEET" sheetId="1" r:id="rId1"/>
    <sheet name="COMPLEX CASH BUDGETS" sheetId="2" r:id="rId2"/>
    <sheet name="FORECAST" sheetId="3" r:id="rId3"/>
    <sheet name="Regression Results" sheetId="5" r:id="rId4"/>
    <sheet name="Break Eve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" l="1"/>
  <c r="D5" i="6"/>
  <c r="D6" i="6" s="1"/>
  <c r="D8" i="6" s="1"/>
  <c r="D10" i="6" s="1"/>
  <c r="I31" i="3"/>
  <c r="E32" i="2"/>
  <c r="D40" i="3"/>
  <c r="D41" i="3"/>
  <c r="D39" i="3"/>
  <c r="D12" i="6" l="1"/>
  <c r="C40" i="3" a="1"/>
  <c r="C40" i="3" s="1"/>
  <c r="C41" i="3" s="1" a="1"/>
  <c r="C41" i="3" s="1"/>
  <c r="C39" i="3" a="1"/>
  <c r="C39" i="3" s="1"/>
  <c r="I10" i="3"/>
  <c r="I11" i="3" s="1"/>
  <c r="C12" i="3"/>
  <c r="N13" i="3"/>
  <c r="O14" i="3" s="1"/>
  <c r="N17" i="3"/>
  <c r="N18" i="3"/>
  <c r="N16" i="3"/>
  <c r="N6" i="3"/>
  <c r="N10" i="3"/>
  <c r="N9" i="3"/>
  <c r="N8" i="3"/>
  <c r="N7" i="3"/>
  <c r="H16" i="3"/>
  <c r="H14" i="3"/>
  <c r="H17" i="3" s="1"/>
  <c r="H7" i="3"/>
  <c r="H6" i="3"/>
  <c r="H30" i="3"/>
  <c r="B20" i="3" s="1"/>
  <c r="B10" i="3" s="1"/>
  <c r="H9" i="3"/>
  <c r="H5" i="3"/>
  <c r="J22" i="3"/>
  <c r="I22" i="3"/>
  <c r="J17" i="3"/>
  <c r="J19" i="3" s="1"/>
  <c r="J23" i="3" s="1"/>
  <c r="I17" i="3"/>
  <c r="I19" i="3" s="1"/>
  <c r="I23" i="3" s="1"/>
  <c r="J11" i="3"/>
  <c r="J8" i="3"/>
  <c r="J12" i="3" s="1"/>
  <c r="I8" i="3"/>
  <c r="B9" i="3"/>
  <c r="B8" i="3"/>
  <c r="B6" i="3"/>
  <c r="B7" i="3" s="1"/>
  <c r="D7" i="3"/>
  <c r="D11" i="3" s="1"/>
  <c r="C7" i="3"/>
  <c r="C11" i="3" s="1"/>
  <c r="T7" i="2"/>
  <c r="T9" i="2"/>
  <c r="N4" i="2"/>
  <c r="N7" i="2"/>
  <c r="N11" i="2"/>
  <c r="D33" i="2"/>
  <c r="E28" i="2" s="1"/>
  <c r="P27" i="2"/>
  <c r="S20" i="2"/>
  <c r="R20" i="2"/>
  <c r="Q20" i="2"/>
  <c r="P20" i="2"/>
  <c r="S11" i="2"/>
  <c r="T13" i="2" s="1"/>
  <c r="R11" i="2"/>
  <c r="S13" i="2" s="1"/>
  <c r="Q11" i="2"/>
  <c r="S14" i="2" s="1"/>
  <c r="P11" i="2"/>
  <c r="R14" i="2" s="1"/>
  <c r="O11" i="2"/>
  <c r="P13" i="2" s="1"/>
  <c r="O13" i="2"/>
  <c r="M9" i="2"/>
  <c r="M8" i="2"/>
  <c r="S7" i="2"/>
  <c r="R7" i="2"/>
  <c r="Q7" i="2"/>
  <c r="P7" i="2"/>
  <c r="O7" i="2"/>
  <c r="C39" i="2"/>
  <c r="E23" i="2" s="1"/>
  <c r="E35" i="2" s="1"/>
  <c r="C38" i="2"/>
  <c r="D11" i="2"/>
  <c r="F14" i="2" s="1"/>
  <c r="E11" i="2"/>
  <c r="G14" i="2" s="1"/>
  <c r="F11" i="2"/>
  <c r="H14" i="2" s="1"/>
  <c r="G11" i="2"/>
  <c r="I14" i="2" s="1"/>
  <c r="H11" i="2"/>
  <c r="I13" i="2" s="1"/>
  <c r="C11" i="2"/>
  <c r="E14" i="2" s="1"/>
  <c r="F20" i="2"/>
  <c r="G20" i="2"/>
  <c r="H20" i="2"/>
  <c r="E20" i="2"/>
  <c r="D7" i="2"/>
  <c r="E7" i="2"/>
  <c r="F7" i="2"/>
  <c r="G7" i="2"/>
  <c r="H7" i="2"/>
  <c r="I7" i="2"/>
  <c r="C7" i="2"/>
  <c r="B9" i="2"/>
  <c r="H9" i="2" s="1"/>
  <c r="B8" i="2"/>
  <c r="G8" i="2" s="1"/>
  <c r="C4" i="2"/>
  <c r="D4" i="2" s="1"/>
  <c r="E4" i="2" s="1"/>
  <c r="F4" i="2" s="1"/>
  <c r="G4" i="2" s="1"/>
  <c r="H4" i="2" s="1"/>
  <c r="I4" i="2" s="1"/>
  <c r="A3" i="2" s="1"/>
  <c r="L19" i="1"/>
  <c r="M20" i="1" s="1"/>
  <c r="M21" i="1" s="1"/>
  <c r="L18" i="1"/>
  <c r="L17" i="1"/>
  <c r="L16" i="1"/>
  <c r="L13" i="1"/>
  <c r="M14" i="1" s="1"/>
  <c r="L7" i="1"/>
  <c r="L10" i="1"/>
  <c r="L9" i="1"/>
  <c r="L8" i="1"/>
  <c r="L6" i="1"/>
  <c r="H22" i="1"/>
  <c r="H17" i="1"/>
  <c r="H19" i="1" s="1"/>
  <c r="H11" i="1"/>
  <c r="H8" i="1"/>
  <c r="G22" i="1"/>
  <c r="G17" i="1"/>
  <c r="G19" i="1" s="1"/>
  <c r="G11" i="1"/>
  <c r="G8" i="1"/>
  <c r="C7" i="1"/>
  <c r="C11" i="1" s="1"/>
  <c r="C13" i="1" s="1"/>
  <c r="B7" i="1"/>
  <c r="B11" i="1" s="1"/>
  <c r="B13" i="1" s="1"/>
  <c r="H10" i="3" l="1"/>
  <c r="H11" i="3" s="1"/>
  <c r="H12" i="3" s="1"/>
  <c r="I12" i="3"/>
  <c r="D13" i="3"/>
  <c r="D14" i="3" s="1"/>
  <c r="D15" i="3" s="1"/>
  <c r="C13" i="3"/>
  <c r="C14" i="3" s="1"/>
  <c r="C15" i="3" s="1"/>
  <c r="H8" i="3"/>
  <c r="B11" i="3"/>
  <c r="T10" i="2"/>
  <c r="T14" i="2"/>
  <c r="T8" i="2"/>
  <c r="Q8" i="2"/>
  <c r="R8" i="2"/>
  <c r="O8" i="2"/>
  <c r="S8" i="2"/>
  <c r="Q9" i="2"/>
  <c r="Q10" i="2" s="1"/>
  <c r="Q17" i="2" s="1"/>
  <c r="R13" i="2"/>
  <c r="R15" i="2" s="1"/>
  <c r="R19" i="2" s="1"/>
  <c r="R26" i="2" s="1"/>
  <c r="S9" i="2"/>
  <c r="P9" i="2"/>
  <c r="Q13" i="2"/>
  <c r="P8" i="2"/>
  <c r="R9" i="2"/>
  <c r="R10" i="2" s="1"/>
  <c r="R17" i="2" s="1"/>
  <c r="S15" i="2"/>
  <c r="S19" i="2" s="1"/>
  <c r="S26" i="2" s="1"/>
  <c r="P14" i="2"/>
  <c r="P15" i="2" s="1"/>
  <c r="P19" i="2" s="1"/>
  <c r="P26" i="2" s="1"/>
  <c r="O4" i="2"/>
  <c r="P4" i="2" s="1"/>
  <c r="Q4" i="2" s="1"/>
  <c r="R4" i="2" s="1"/>
  <c r="S4" i="2" s="1"/>
  <c r="Q14" i="2"/>
  <c r="F8" i="2"/>
  <c r="G9" i="2"/>
  <c r="G10" i="2" s="1"/>
  <c r="G17" i="2" s="1"/>
  <c r="H13" i="2"/>
  <c r="H15" i="2" s="1"/>
  <c r="H19" i="2" s="1"/>
  <c r="D8" i="2"/>
  <c r="I8" i="2"/>
  <c r="E8" i="2"/>
  <c r="F9" i="2"/>
  <c r="D13" i="2"/>
  <c r="G13" i="2"/>
  <c r="G15" i="2" s="1"/>
  <c r="G19" i="2" s="1"/>
  <c r="E9" i="2"/>
  <c r="H8" i="2"/>
  <c r="H10" i="2" s="1"/>
  <c r="H17" i="2" s="1"/>
  <c r="I9" i="2"/>
  <c r="F13" i="2"/>
  <c r="F15" i="2" s="1"/>
  <c r="F19" i="2" s="1"/>
  <c r="E13" i="2"/>
  <c r="E15" i="2" s="1"/>
  <c r="E19" i="2" s="1"/>
  <c r="E27" i="2" s="1"/>
  <c r="H12" i="1"/>
  <c r="G23" i="1"/>
  <c r="H23" i="1"/>
  <c r="G12" i="1"/>
  <c r="B14" i="1"/>
  <c r="B15" i="1" s="1"/>
  <c r="L5" i="1" s="1"/>
  <c r="M11" i="1" s="1"/>
  <c r="C14" i="1"/>
  <c r="C15" i="1" s="1"/>
  <c r="N19" i="3" l="1"/>
  <c r="O20" i="3" s="1"/>
  <c r="N5" i="3"/>
  <c r="O11" i="3" s="1"/>
  <c r="L3" i="2"/>
  <c r="T4" i="2"/>
  <c r="P10" i="2"/>
  <c r="P17" i="2" s="1"/>
  <c r="S10" i="2"/>
  <c r="S17" i="2" s="1"/>
  <c r="S28" i="2" s="1"/>
  <c r="P28" i="2"/>
  <c r="P29" i="2" s="1"/>
  <c r="P30" i="2" s="1"/>
  <c r="P32" i="2" s="1"/>
  <c r="R28" i="2"/>
  <c r="Q15" i="2"/>
  <c r="Q19" i="2" s="1"/>
  <c r="Q26" i="2" s="1"/>
  <c r="Q28" i="2" s="1"/>
  <c r="F10" i="2"/>
  <c r="F17" i="2" s="1"/>
  <c r="E10" i="2"/>
  <c r="E17" i="2" s="1"/>
  <c r="E29" i="2" s="1"/>
  <c r="E30" i="2" s="1"/>
  <c r="I10" i="2"/>
  <c r="O21" i="3" l="1"/>
  <c r="E31" i="2"/>
  <c r="G38" i="2"/>
  <c r="P31" i="2"/>
  <c r="Q27" i="2" s="1"/>
  <c r="Q29" i="2" s="1"/>
  <c r="E33" i="2" l="1"/>
  <c r="F28" i="2" s="1"/>
  <c r="E34" i="2"/>
  <c r="Q30" i="2"/>
  <c r="Q32" i="2" s="1"/>
  <c r="F23" i="2" l="1"/>
  <c r="Q31" i="2"/>
  <c r="R27" i="2" s="1"/>
  <c r="R29" i="2" s="1"/>
  <c r="F35" i="2" l="1"/>
  <c r="F27" i="2"/>
  <c r="F29" i="2" s="1"/>
  <c r="F30" i="2" s="1"/>
  <c r="F31" i="2" s="1"/>
  <c r="R30" i="2"/>
  <c r="R32" i="2" s="1"/>
  <c r="F32" i="2" l="1"/>
  <c r="R31" i="2"/>
  <c r="S27" i="2" s="1"/>
  <c r="S29" i="2" s="1"/>
  <c r="F33" i="2" l="1"/>
  <c r="G28" i="2" s="1"/>
  <c r="F34" i="2"/>
  <c r="G23" i="2" s="1"/>
  <c r="S30" i="2"/>
  <c r="S32" i="2" s="1"/>
  <c r="G27" i="2" l="1"/>
  <c r="G29" i="2" s="1"/>
  <c r="G30" i="2" s="1"/>
  <c r="G35" i="2"/>
  <c r="S31" i="2"/>
  <c r="G31" i="2" l="1"/>
  <c r="G32" i="2" l="1"/>
  <c r="G33" i="2" l="1"/>
  <c r="H28" i="2" s="1"/>
  <c r="G34" i="2"/>
  <c r="H23" i="2" s="1"/>
  <c r="H27" i="2" s="1"/>
  <c r="H29" i="2" s="1"/>
  <c r="H30" i="2" s="1"/>
  <c r="H31" i="2" l="1"/>
  <c r="H32" i="2" s="1"/>
  <c r="H33" i="2" s="1"/>
  <c r="H35" i="2"/>
  <c r="H34" i="2" l="1"/>
  <c r="J34" i="2" s="1"/>
  <c r="I25" i="3" l="1"/>
  <c r="H26" i="3"/>
  <c r="B15" i="3"/>
  <c r="H21" i="3"/>
  <c r="H22" i="3"/>
  <c r="H19" i="3"/>
  <c r="H23" i="3"/>
  <c r="H25" i="3"/>
  <c r="H18" i="3"/>
  <c r="B12" i="3"/>
  <c r="B13" i="3"/>
  <c r="B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<sst xmlns="http://schemas.openxmlformats.org/spreadsheetml/2006/main" count="241" uniqueCount="134">
  <si>
    <t>ELVIS PRODUCTIONS INTERNATIONAL</t>
  </si>
  <si>
    <t>INCOME STATEMENT</t>
  </si>
  <si>
    <t>FOR THE YEAR ENDED DEC 31 2014</t>
  </si>
  <si>
    <t>Sales</t>
  </si>
  <si>
    <t>Cost of Goods Sold</t>
  </si>
  <si>
    <t>Gross Profit</t>
  </si>
  <si>
    <t>Selling Expenses</t>
  </si>
  <si>
    <t>EBIT</t>
  </si>
  <si>
    <t>INTEREST EXPENSE</t>
  </si>
  <si>
    <t>EARNINGS BEFORE TAXES</t>
  </si>
  <si>
    <t>TAXES</t>
  </si>
  <si>
    <t>NET INCOME</t>
  </si>
  <si>
    <t>Fixed Expense</t>
  </si>
  <si>
    <t>Depreciation Expense</t>
  </si>
  <si>
    <t>Notes</t>
  </si>
  <si>
    <t>TAX RATE</t>
  </si>
  <si>
    <t>ELVIS PRODUCTION INTERNTIONAL</t>
  </si>
  <si>
    <t>BALANCE SHEET</t>
  </si>
  <si>
    <t>AS OF DEC 31 2014</t>
  </si>
  <si>
    <t>Cash and Equivalents</t>
  </si>
  <si>
    <t>Inventory</t>
  </si>
  <si>
    <t>Total Current Assets</t>
  </si>
  <si>
    <t>Plant and Equipment</t>
  </si>
  <si>
    <t>Accumulated Depreciation</t>
  </si>
  <si>
    <t>Net Fixed Assets</t>
  </si>
  <si>
    <t>Total Assets</t>
  </si>
  <si>
    <t>Accounts Payable</t>
  </si>
  <si>
    <t>Short term Notes Payable</t>
  </si>
  <si>
    <t>Other Current Liabilities</t>
  </si>
  <si>
    <t>Total Current Liabilities</t>
  </si>
  <si>
    <t>Long Term Debts</t>
  </si>
  <si>
    <t>Total Liabilities</t>
  </si>
  <si>
    <t>Common Stock</t>
  </si>
  <si>
    <t>Retained Earnings</t>
  </si>
  <si>
    <t>Total Shareholders Equity</t>
  </si>
  <si>
    <t>Total Owners Equity and Liabilities</t>
  </si>
  <si>
    <t>Accounts Receivable</t>
  </si>
  <si>
    <t>Liabilities and Owners Equity</t>
  </si>
  <si>
    <t>Assets</t>
  </si>
  <si>
    <t>STATEMENT OF CASH FLOW</t>
  </si>
  <si>
    <t>Cash Flows from Operations</t>
  </si>
  <si>
    <t>Cash Flows from Investing</t>
  </si>
  <si>
    <t>Net Income</t>
  </si>
  <si>
    <t>Change in Inventory</t>
  </si>
  <si>
    <t>Change in Short term Notes Payable</t>
  </si>
  <si>
    <t>Change in Long Term Debts</t>
  </si>
  <si>
    <t>Change in Common Stock</t>
  </si>
  <si>
    <t>Change in Accounts Payable</t>
  </si>
  <si>
    <t>Change in Other current Liabilities</t>
  </si>
  <si>
    <t>Total Cash Flows from Operations</t>
  </si>
  <si>
    <t>Cash Flows from Financing</t>
  </si>
  <si>
    <t>Change in Accounts Receivable</t>
  </si>
  <si>
    <t>Change in Plants and Equipments</t>
  </si>
  <si>
    <t>Total Cash Flows from Financing</t>
  </si>
  <si>
    <t>Dividends Paid</t>
  </si>
  <si>
    <t>Net Change in Cash Balance</t>
  </si>
  <si>
    <t>Bithlo Barbecues</t>
  </si>
  <si>
    <t>Cash Budget</t>
  </si>
  <si>
    <t>Collections</t>
  </si>
  <si>
    <t>Purchases</t>
  </si>
  <si>
    <t>Payments</t>
  </si>
  <si>
    <t>Cash</t>
  </si>
  <si>
    <t>First Month After</t>
  </si>
  <si>
    <t>Second Month After</t>
  </si>
  <si>
    <t>Total Collections</t>
  </si>
  <si>
    <t>Total Payments</t>
  </si>
  <si>
    <t>Less: Disbursements</t>
  </si>
  <si>
    <t>Inventory payments</t>
  </si>
  <si>
    <t>Wages</t>
  </si>
  <si>
    <t>Lease Payments</t>
  </si>
  <si>
    <t>Dividends</t>
  </si>
  <si>
    <t xml:space="preserve">Taxes </t>
  </si>
  <si>
    <t>Capital Outlays</t>
  </si>
  <si>
    <t>Interest payments</t>
  </si>
  <si>
    <t>Total Disbursements</t>
  </si>
  <si>
    <t>Minimum Acceptable Cash</t>
  </si>
  <si>
    <t>Beginning Cash Balance</t>
  </si>
  <si>
    <t>Collections-Disbursements</t>
  </si>
  <si>
    <t>Unadjusted Cash Balance</t>
  </si>
  <si>
    <t>Ending Cash Balance</t>
  </si>
  <si>
    <t>Cumulative Borrowing</t>
  </si>
  <si>
    <t>Borrowing/Repays</t>
  </si>
  <si>
    <t>Maximum Acceptable Cash</t>
  </si>
  <si>
    <t>Borrow Interest Rate</t>
  </si>
  <si>
    <t>Lending Interest Rate</t>
  </si>
  <si>
    <t>Short term Interest Exp.</t>
  </si>
  <si>
    <t>Cumulative Interest Exp.</t>
  </si>
  <si>
    <t>Cumulative Borrow/Invest</t>
  </si>
  <si>
    <t>Investments</t>
  </si>
  <si>
    <t>Borrowing/Repayments</t>
  </si>
  <si>
    <t>ADD DEPRECIATION</t>
  </si>
  <si>
    <t>INTEREST RATE</t>
  </si>
  <si>
    <t>ADD PLANT AND EQUIP.</t>
  </si>
  <si>
    <t>LIFE OF NEW EQUIP. IN YRS</t>
  </si>
  <si>
    <t>DEPRECIATION(STRAIGHT METHOD)</t>
  </si>
  <si>
    <t>Discretion Finance Needed</t>
  </si>
  <si>
    <t>ITERATION</t>
  </si>
  <si>
    <t>Accumulated DFN</t>
  </si>
  <si>
    <t>Year</t>
  </si>
  <si>
    <t>COGS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</si>
  <si>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</si>
  <si>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</si>
  <si>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</si>
  <si>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</si>
  <si>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</si>
  <si>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</si>
  <si>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</si>
  <si>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</si>
  <si>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</si>
  <si>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</si>
  <si>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</si>
  <si>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</si>
  <si>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</si>
  <si>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</si>
  <si>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</si>
  <si>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</si>
  <si>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</si>
  <si>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</si>
  <si>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</si>
  <si>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</si>
  <si>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</si>
  <si>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</si>
  <si>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</si>
  <si>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</si>
  <si>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Change in Other Current Liabilities</t>
  </si>
  <si>
    <t>Less: Variable Costs</t>
  </si>
  <si>
    <t>Less:Fixed Costs</t>
  </si>
  <si>
    <t>FOR THE YEAR ENDED DEC 31 2020</t>
  </si>
  <si>
    <t>ASSUMPTIONS</t>
  </si>
  <si>
    <t>Price per units</t>
  </si>
  <si>
    <t>Unit Sales</t>
  </si>
  <si>
    <t>Variable Costs as a percent of sales</t>
  </si>
  <si>
    <t>Tax Rate</t>
  </si>
  <si>
    <t>Operating Break Even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</si>
</sst>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#,##0.00,_);\(#,##0.00,\)"/>
    <numFmt numFmtId="166" formatCode="mmm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auto="1"/>
      </right>
      <top style="thin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 applyAlignment="1">
      <alignment horizontal="centerContinuous"/>
    </xf>
    <xf numFmtId="0" fontId="4" fillId="2" borderId="3" xfId="0" applyFont="1" applyFill="1" applyBorder="1"/>
    <xf numFmtId="164" fontId="4" fillId="2" borderId="3" xfId="1" applyNumberFormat="1" applyFont="1" applyFill="1" applyBorder="1"/>
    <xf numFmtId="0" fontId="0" fillId="0" borderId="0" xfId="0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4" fillId="2" borderId="9" xfId="0" applyFont="1" applyFill="1" applyBorder="1"/>
    <xf numFmtId="0" fontId="4" fillId="2" borderId="10" xfId="0" applyFont="1" applyFill="1" applyBorder="1"/>
    <xf numFmtId="0" fontId="0" fillId="0" borderId="7" xfId="0" applyBorder="1" applyAlignment="1">
      <alignment horizontal="left" indent="1"/>
    </xf>
    <xf numFmtId="0" fontId="3" fillId="0" borderId="7" xfId="0" applyFont="1" applyBorder="1"/>
    <xf numFmtId="0" fontId="4" fillId="0" borderId="7" xfId="0" applyFont="1" applyBorder="1"/>
    <xf numFmtId="164" fontId="4" fillId="2" borderId="10" xfId="1" applyNumberFormat="1" applyFont="1" applyFill="1" applyBorder="1"/>
    <xf numFmtId="0" fontId="0" fillId="0" borderId="7" xfId="0" applyBorder="1"/>
    <xf numFmtId="0" fontId="0" fillId="0" borderId="5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0" fillId="0" borderId="7" xfId="0" applyBorder="1" applyAlignment="1">
      <alignment horizontal="left"/>
    </xf>
    <xf numFmtId="0" fontId="4" fillId="0" borderId="13" xfId="0" applyFont="1" applyBorder="1" applyAlignment="1">
      <alignment horizontal="left"/>
    </xf>
    <xf numFmtId="165" fontId="0" fillId="0" borderId="0" xfId="1" applyNumberFormat="1" applyFont="1" applyBorder="1"/>
    <xf numFmtId="165" fontId="0" fillId="0" borderId="8" xfId="1" applyNumberFormat="1" applyFont="1" applyBorder="1"/>
    <xf numFmtId="165" fontId="0" fillId="0" borderId="1" xfId="1" applyNumberFormat="1" applyFont="1" applyBorder="1"/>
    <xf numFmtId="165" fontId="0" fillId="0" borderId="11" xfId="1" applyNumberFormat="1" applyFont="1" applyBorder="1"/>
    <xf numFmtId="165" fontId="4" fillId="0" borderId="0" xfId="1" applyNumberFormat="1" applyFont="1" applyBorder="1"/>
    <xf numFmtId="165" fontId="4" fillId="0" borderId="8" xfId="1" applyNumberFormat="1" applyFont="1" applyBorder="1"/>
    <xf numFmtId="165" fontId="4" fillId="0" borderId="14" xfId="1" applyNumberFormat="1" applyFont="1" applyBorder="1"/>
    <xf numFmtId="165" fontId="4" fillId="0" borderId="15" xfId="1" applyNumberFormat="1" applyFont="1" applyBorder="1"/>
    <xf numFmtId="165" fontId="3" fillId="0" borderId="0" xfId="1" applyNumberFormat="1" applyFont="1" applyBorder="1"/>
    <xf numFmtId="165" fontId="3" fillId="0" borderId="8" xfId="1" applyNumberFormat="1" applyFont="1" applyBorder="1"/>
    <xf numFmtId="165" fontId="3" fillId="0" borderId="2" xfId="1" applyNumberFormat="1" applyFont="1" applyBorder="1"/>
    <xf numFmtId="165" fontId="3" fillId="0" borderId="12" xfId="1" applyNumberFormat="1" applyFont="1" applyBorder="1"/>
    <xf numFmtId="0" fontId="4" fillId="0" borderId="16" xfId="0" applyFont="1" applyBorder="1"/>
    <xf numFmtId="165" fontId="4" fillId="0" borderId="17" xfId="1" applyNumberFormat="1" applyFont="1" applyBorder="1"/>
    <xf numFmtId="165" fontId="4" fillId="0" borderId="18" xfId="1" applyNumberFormat="1" applyFont="1" applyBorder="1"/>
    <xf numFmtId="0" fontId="2" fillId="0" borderId="7" xfId="0" applyFont="1" applyBorder="1"/>
    <xf numFmtId="0" fontId="4" fillId="2" borderId="19" xfId="0" applyFont="1" applyFill="1" applyBorder="1"/>
    <xf numFmtId="164" fontId="4" fillId="2" borderId="20" xfId="1" applyNumberFormat="1" applyFont="1" applyFill="1" applyBorder="1"/>
    <xf numFmtId="164" fontId="4" fillId="2" borderId="21" xfId="1" applyNumberFormat="1" applyFont="1" applyFill="1" applyBorder="1"/>
    <xf numFmtId="165" fontId="0" fillId="0" borderId="0" xfId="0" applyNumberFormat="1"/>
    <xf numFmtId="165" fontId="0" fillId="0" borderId="8" xfId="0" applyNumberFormat="1" applyBorder="1"/>
    <xf numFmtId="165" fontId="2" fillId="0" borderId="8" xfId="1" applyNumberFormat="1" applyFont="1" applyBorder="1"/>
    <xf numFmtId="165" fontId="2" fillId="0" borderId="0" xfId="0" applyNumberFormat="1" applyFont="1"/>
    <xf numFmtId="165" fontId="2" fillId="0" borderId="2" xfId="1" applyNumberFormat="1" applyFont="1" applyBorder="1"/>
    <xf numFmtId="165" fontId="2" fillId="0" borderId="12" xfId="1" applyNumberFormat="1" applyFont="1" applyBorder="1"/>
    <xf numFmtId="166" fontId="4" fillId="2" borderId="3" xfId="0" applyNumberFormat="1" applyFont="1" applyFill="1" applyBorder="1"/>
    <xf numFmtId="37" fontId="0" fillId="0" borderId="0" xfId="0" applyNumberFormat="1"/>
    <xf numFmtId="37" fontId="0" fillId="0" borderId="1" xfId="0" applyNumberFormat="1" applyBorder="1"/>
    <xf numFmtId="37" fontId="0" fillId="0" borderId="2" xfId="0" applyNumberFormat="1" applyBorder="1"/>
    <xf numFmtId="37" fontId="0" fillId="0" borderId="22" xfId="0" applyNumberFormat="1" applyBorder="1"/>
    <xf numFmtId="10" fontId="0" fillId="0" borderId="0" xfId="2" applyNumberFormat="1" applyFont="1"/>
    <xf numFmtId="37" fontId="0" fillId="0" borderId="8" xfId="0" applyNumberForma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37" fontId="0" fillId="0" borderId="14" xfId="0" applyNumberFormat="1" applyBorder="1"/>
    <xf numFmtId="37" fontId="0" fillId="0" borderId="15" xfId="0" applyNumberFormat="1" applyBorder="1"/>
    <xf numFmtId="166" fontId="4" fillId="2" borderId="10" xfId="0" applyNumberFormat="1" applyFont="1" applyFill="1" applyBorder="1"/>
    <xf numFmtId="37" fontId="0" fillId="0" borderId="11" xfId="0" applyNumberFormat="1" applyBorder="1"/>
    <xf numFmtId="37" fontId="0" fillId="0" borderId="12" xfId="0" applyNumberFormat="1" applyBorder="1"/>
    <xf numFmtId="37" fontId="0" fillId="0" borderId="23" xfId="0" applyNumberFormat="1" applyBorder="1"/>
    <xf numFmtId="0" fontId="0" fillId="0" borderId="13" xfId="0" applyBorder="1" applyAlignment="1">
      <alignment horizontal="left"/>
    </xf>
    <xf numFmtId="10" fontId="0" fillId="0" borderId="0" xfId="0" applyNumberFormat="1"/>
    <xf numFmtId="8" fontId="0" fillId="0" borderId="0" xfId="0" applyNumberFormat="1"/>
    <xf numFmtId="165" fontId="2" fillId="0" borderId="15" xfId="0" applyNumberFormat="1" applyFont="1" applyBorder="1"/>
    <xf numFmtId="0" fontId="0" fillId="0" borderId="24" xfId="0" applyBorder="1" applyAlignment="1">
      <alignment horizontal="center"/>
    </xf>
    <xf numFmtId="3" fontId="0" fillId="0" borderId="24" xfId="0" applyNumberForma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37" fontId="0" fillId="0" borderId="10" xfId="1" applyNumberFormat="1" applyFont="1" applyBorder="1" applyAlignment="1">
      <alignment horizontal="center"/>
    </xf>
    <xf numFmtId="0" fontId="0" fillId="0" borderId="17" xfId="0" applyBorder="1"/>
    <xf numFmtId="0" fontId="3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centerContinuous"/>
    </xf>
    <xf numFmtId="10" fontId="0" fillId="0" borderId="0" xfId="2" applyNumberFormat="1" applyFont="1" applyFill="1" applyBorder="1" applyAlignment="1"/>
    <xf numFmtId="0" fontId="4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7" fontId="0" fillId="0" borderId="8" xfId="1" applyNumberFormat="1" applyFont="1" applyBorder="1"/>
    <xf numFmtId="37" fontId="0" fillId="0" borderId="11" xfId="1" applyNumberFormat="1" applyFont="1" applyBorder="1"/>
    <xf numFmtId="37" fontId="4" fillId="0" borderId="8" xfId="1" applyNumberFormat="1" applyFont="1" applyBorder="1"/>
    <xf numFmtId="37" fontId="4" fillId="0" borderId="15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ForeCast 2010</a:t>
            </a:r>
            <a:r>
              <a:rPr lang="en-US" baseline="0"/>
              <a:t> - 14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FORECAST!$C$33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FORECAST!$B$34:$B$38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xVal>
          <c:yVal>
            <c:numRef>
              <c:f>FORECAST!$C$34:$C$38</c:f>
              <c:numCache>
                <c:formatCode>#,##0</c:formatCode>
                <c:ptCount val="5"/>
                <c:pt idx="0">
                  <c:v>1890532</c:v>
                </c:pt>
                <c:pt idx="1">
                  <c:v>2098490</c:v>
                </c:pt>
                <c:pt idx="2">
                  <c:v>2350308</c:v>
                </c:pt>
                <c:pt idx="3">
                  <c:v>3432000</c:v>
                </c:pt>
                <c:pt idx="4">
                  <c:v>3850000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8-4317-A618-AAB671A58E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8634223"/>
        <c:axId val="228637583"/>
      </c:scatterChart>
      <c:valAx>
        <c:axId val="22863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37583"/>
        <c:crosses val="autoZero"/>
        <c:crossBetween val="midCat"/>
      </c:valAx>
      <c:valAx>
        <c:axId val="2286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3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758115927802355"/>
          <c:y val="0.14378601953601955"/>
          <c:w val="0.67163495503541781"/>
          <c:h val="0.68407661782661777"/>
        </c:manualLayout>
      </c:layout>
      <c:scatterChart>
        <c:scatterStyle val="lineMarker"/>
        <c:varyColors val="0"/>
        <c:ser>
          <c:idx val="0"/>
          <c:order val="0"/>
          <c:tx>
            <c:strRef>
              <c:f>FORECAST!$D$33</c:f>
              <c:strCache>
                <c:ptCount val="1"/>
                <c:pt idx="0">
                  <c:v>COGS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90533354559756"/>
                  <c:y val="-7.8583028083028084E-2"/>
                </c:manualLayout>
              </c:layout>
              <c:numFmt formatCode="#,##0.000000000_);\(#,##0.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FORECAST!$C$34:$C$38</c:f>
              <c:numCache>
                <c:formatCode>#,##0</c:formatCode>
                <c:ptCount val="5"/>
                <c:pt idx="0">
                  <c:v>1890532</c:v>
                </c:pt>
                <c:pt idx="1">
                  <c:v>2098490</c:v>
                </c:pt>
                <c:pt idx="2">
                  <c:v>2350308</c:v>
                </c:pt>
                <c:pt idx="3">
                  <c:v>3432000</c:v>
                </c:pt>
                <c:pt idx="4">
                  <c:v>3850000</c:v>
                </c:pt>
              </c:numCache>
            </c:numRef>
          </c:xVal>
          <c:yVal>
            <c:numRef>
              <c:f>FORECAST!$D$34:$D$38</c:f>
              <c:numCache>
                <c:formatCode>#,##0</c:formatCode>
                <c:ptCount val="5"/>
                <c:pt idx="0">
                  <c:v>1570200</c:v>
                </c:pt>
                <c:pt idx="1">
                  <c:v>1695694</c:v>
                </c:pt>
                <c:pt idx="2">
                  <c:v>1992400</c:v>
                </c:pt>
                <c:pt idx="3">
                  <c:v>2864000</c:v>
                </c:pt>
                <c:pt idx="4">
                  <c:v>3250000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C-4322-876C-1CAF2750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11216"/>
        <c:axId val="1400413136"/>
      </c:scatterChart>
      <c:valAx>
        <c:axId val="1400411216"/>
        <c:scaling>
          <c:orientation val="minMax"/>
          <c:max val="40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13136"/>
        <c:crosses val="autoZero"/>
        <c:crossBetween val="midCat"/>
        <c:majorUnit val="1000000"/>
      </c:valAx>
      <c:valAx>
        <c:axId val="1400413136"/>
        <c:scaling>
          <c:orientation val="minMax"/>
          <c:max val="4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11216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2136775</xdr:colOff>
      <xdr:row>41</xdr:row>
      <xdr:rowOff>15875</xdr:rowOff>
    </xdr:from>
    <xdr:to>
      <xdr:col>6</xdr:col>
      <xdr:colOff>381000</xdr:colOff>
      <xdr:row>50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FE3BF-1C07-835B-0226-27C982A5B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796924</xdr:colOff>
      <xdr:row>31</xdr:row>
      <xdr:rowOff>146050</xdr:rowOff>
    </xdr:from>
    <xdr:to>
      <xdr:col>9</xdr:col>
      <xdr:colOff>830230</xdr:colOff>
      <xdr:row>48</xdr:row>
      <xdr:rowOff>8926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58091-D8FC-8639-74DD-DA0284E31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8E49-BFAD-4E2E-9C9A-6C26C38F3FCD}">
  <dimension ref="A1:M23"/>
  <sheetViews>
    <sheetView topLeftCell="A11" workbookViewId="0">
      <selection activeCell="G16" sqref="G16"/>
    </sheetView>
  </sheetViews>
  <sheetFormatPr defaultRowHeight="14.5" x14ac:dyDescent="0.35"/>
  <cols>
    <col min="1" max="1" width="30.6328125" customWidth="1"/>
    <col min="2" max="3" width="12.54296875" bestFit="1" customWidth="1"/>
    <col min="6" max="6" width="30.7265625" customWidth="1"/>
    <col min="7" max="8" width="12.54296875" customWidth="1"/>
    <col min="9" max="10" width="8.7265625" customWidth="1"/>
    <col min="11" max="11" width="30.6328125" customWidth="1"/>
  </cols>
  <sheetData>
    <row r="1" spans="1:13" ht="15" thickTop="1" x14ac:dyDescent="0.35">
      <c r="A1" s="7" t="s">
        <v>0</v>
      </c>
      <c r="B1" s="19"/>
      <c r="C1" s="20"/>
      <c r="F1" s="7" t="s">
        <v>16</v>
      </c>
      <c r="G1" s="8"/>
      <c r="H1" s="9"/>
      <c r="K1" s="7" t="s">
        <v>16</v>
      </c>
      <c r="L1" s="8"/>
      <c r="M1" s="9"/>
    </row>
    <row r="2" spans="1:13" x14ac:dyDescent="0.35">
      <c r="A2" s="10" t="s">
        <v>1</v>
      </c>
      <c r="B2" s="6"/>
      <c r="C2" s="21"/>
      <c r="F2" s="10" t="s">
        <v>17</v>
      </c>
      <c r="G2" s="3"/>
      <c r="H2" s="11"/>
      <c r="K2" s="10" t="s">
        <v>39</v>
      </c>
      <c r="L2" s="3"/>
      <c r="M2" s="11"/>
    </row>
    <row r="3" spans="1:13" ht="15" thickBot="1" x14ac:dyDescent="0.4">
      <c r="A3" s="10" t="s">
        <v>2</v>
      </c>
      <c r="B3" s="6"/>
      <c r="C3" s="21"/>
      <c r="F3" s="10" t="s">
        <v>18</v>
      </c>
      <c r="G3" s="3"/>
      <c r="H3" s="11"/>
      <c r="K3" s="10" t="s">
        <v>18</v>
      </c>
      <c r="L3" s="3"/>
      <c r="M3" s="11"/>
    </row>
    <row r="4" spans="1:13" ht="15.5" thickTop="1" thickBot="1" x14ac:dyDescent="0.4">
      <c r="A4" s="12"/>
      <c r="B4" s="4">
        <v>2014</v>
      </c>
      <c r="C4" s="13">
        <v>2013</v>
      </c>
      <c r="F4" s="12" t="s">
        <v>38</v>
      </c>
      <c r="G4" s="4">
        <v>2014</v>
      </c>
      <c r="H4" s="13">
        <v>2013</v>
      </c>
      <c r="K4" s="12" t="s">
        <v>40</v>
      </c>
      <c r="L4" s="4"/>
      <c r="M4" s="13"/>
    </row>
    <row r="5" spans="1:13" ht="15" thickTop="1" x14ac:dyDescent="0.35">
      <c r="A5" s="24" t="s">
        <v>3</v>
      </c>
      <c r="B5" s="26">
        <v>3850000</v>
      </c>
      <c r="C5" s="27">
        <v>3432000</v>
      </c>
      <c r="F5" s="14" t="s">
        <v>19</v>
      </c>
      <c r="G5" s="26">
        <v>52000</v>
      </c>
      <c r="H5" s="27">
        <v>57600</v>
      </c>
      <c r="K5" s="14" t="s">
        <v>42</v>
      </c>
      <c r="L5" s="26">
        <f>B15</f>
        <v>44220</v>
      </c>
      <c r="M5" s="27"/>
    </row>
    <row r="6" spans="1:13" x14ac:dyDescent="0.35">
      <c r="A6" s="24" t="s">
        <v>4</v>
      </c>
      <c r="B6" s="28">
        <v>3250000</v>
      </c>
      <c r="C6" s="29">
        <v>2864000</v>
      </c>
      <c r="E6" s="23"/>
      <c r="F6" s="14" t="s">
        <v>36</v>
      </c>
      <c r="G6" s="26">
        <v>402000</v>
      </c>
      <c r="H6" s="27">
        <v>351200</v>
      </c>
      <c r="K6" s="14" t="s">
        <v>13</v>
      </c>
      <c r="L6" s="26">
        <f>B10</f>
        <v>20000</v>
      </c>
      <c r="M6" s="27"/>
    </row>
    <row r="7" spans="1:13" x14ac:dyDescent="0.35">
      <c r="A7" s="22" t="s">
        <v>5</v>
      </c>
      <c r="B7" s="30">
        <f>B5-B6</f>
        <v>600000</v>
      </c>
      <c r="C7" s="31">
        <f>C5-C6</f>
        <v>568000</v>
      </c>
      <c r="F7" s="14" t="s">
        <v>20</v>
      </c>
      <c r="G7" s="28">
        <v>836000</v>
      </c>
      <c r="H7" s="29">
        <v>715200</v>
      </c>
      <c r="K7" s="14" t="s">
        <v>51</v>
      </c>
      <c r="L7" s="26">
        <f>H6-G6</f>
        <v>-50800</v>
      </c>
      <c r="M7" s="27"/>
    </row>
    <row r="8" spans="1:13" x14ac:dyDescent="0.35">
      <c r="A8" s="24" t="s">
        <v>6</v>
      </c>
      <c r="B8" s="26">
        <v>330300</v>
      </c>
      <c r="C8" s="27">
        <v>240000</v>
      </c>
      <c r="F8" s="15" t="s">
        <v>21</v>
      </c>
      <c r="G8" s="34">
        <f>SUM(G5:G7)</f>
        <v>1290000</v>
      </c>
      <c r="H8" s="35">
        <f>SUM(H5:H7)</f>
        <v>1124000</v>
      </c>
      <c r="K8" s="14" t="s">
        <v>43</v>
      </c>
      <c r="L8" s="26">
        <f>H7-G7</f>
        <v>-120800</v>
      </c>
      <c r="M8" s="27"/>
    </row>
    <row r="9" spans="1:13" x14ac:dyDescent="0.35">
      <c r="A9" s="24" t="s">
        <v>12</v>
      </c>
      <c r="B9" s="26">
        <v>100000</v>
      </c>
      <c r="C9" s="27">
        <v>100000</v>
      </c>
      <c r="F9" s="14" t="s">
        <v>22</v>
      </c>
      <c r="G9" s="26">
        <v>527000</v>
      </c>
      <c r="H9" s="27">
        <v>491000</v>
      </c>
      <c r="K9" s="14" t="s">
        <v>47</v>
      </c>
      <c r="L9" s="26">
        <f>G14-H14</f>
        <v>29600</v>
      </c>
      <c r="M9" s="27"/>
    </row>
    <row r="10" spans="1:13" x14ac:dyDescent="0.35">
      <c r="A10" s="24" t="s">
        <v>13</v>
      </c>
      <c r="B10" s="28">
        <v>20000</v>
      </c>
      <c r="C10" s="29">
        <v>18900</v>
      </c>
      <c r="F10" s="14" t="s">
        <v>23</v>
      </c>
      <c r="G10" s="28">
        <v>166200</v>
      </c>
      <c r="H10" s="29">
        <v>146200</v>
      </c>
      <c r="K10" s="14" t="s">
        <v>48</v>
      </c>
      <c r="L10" s="28">
        <f>G16-H16</f>
        <v>4000</v>
      </c>
      <c r="M10" s="29"/>
    </row>
    <row r="11" spans="1:13" ht="15" thickBot="1" x14ac:dyDescent="0.4">
      <c r="A11" s="22" t="s">
        <v>7</v>
      </c>
      <c r="B11" s="30">
        <f>B7-SUM(B8:B10)</f>
        <v>149700</v>
      </c>
      <c r="C11" s="31">
        <f>C7-SUM(C8:C10)</f>
        <v>209100</v>
      </c>
      <c r="F11" s="15" t="s">
        <v>24</v>
      </c>
      <c r="G11" s="34">
        <f>G9-G10</f>
        <v>360800</v>
      </c>
      <c r="H11" s="35">
        <f>H9-H10</f>
        <v>344800</v>
      </c>
      <c r="K11" s="41" t="s">
        <v>49</v>
      </c>
      <c r="L11" s="30"/>
      <c r="M11" s="47">
        <f>SUM(L5:L10)</f>
        <v>-73780</v>
      </c>
    </row>
    <row r="12" spans="1:13" ht="15.5" thickTop="1" thickBot="1" x14ac:dyDescent="0.4">
      <c r="A12" s="24" t="s">
        <v>8</v>
      </c>
      <c r="B12" s="28">
        <v>76000</v>
      </c>
      <c r="C12" s="29">
        <v>62500</v>
      </c>
      <c r="F12" s="16" t="s">
        <v>25</v>
      </c>
      <c r="G12" s="30">
        <f>G8+G11</f>
        <v>1650800</v>
      </c>
      <c r="H12" s="31">
        <f>H8+H11</f>
        <v>1468800</v>
      </c>
      <c r="K12" s="42" t="s">
        <v>41</v>
      </c>
      <c r="L12" s="43"/>
      <c r="M12" s="44"/>
    </row>
    <row r="13" spans="1:13" ht="15.5" thickTop="1" thickBot="1" x14ac:dyDescent="0.4">
      <c r="A13" s="22" t="s">
        <v>9</v>
      </c>
      <c r="B13" s="30">
        <f>B11-B12</f>
        <v>73700</v>
      </c>
      <c r="C13" s="31">
        <f>C11-C12</f>
        <v>146600</v>
      </c>
      <c r="F13" s="12" t="s">
        <v>37</v>
      </c>
      <c r="G13" s="5"/>
      <c r="H13" s="17"/>
      <c r="K13" s="14" t="s">
        <v>52</v>
      </c>
      <c r="L13" s="45">
        <f>H9-G9</f>
        <v>-36000</v>
      </c>
      <c r="M13" s="46"/>
    </row>
    <row r="14" spans="1:13" ht="15.5" thickTop="1" thickBot="1" x14ac:dyDescent="0.4">
      <c r="A14" s="24" t="s">
        <v>10</v>
      </c>
      <c r="B14" s="28">
        <f>B13*$B$19</f>
        <v>29480</v>
      </c>
      <c r="C14" s="29">
        <f>C13*$B$19</f>
        <v>58640</v>
      </c>
      <c r="F14" s="18" t="s">
        <v>26</v>
      </c>
      <c r="G14" s="26">
        <v>175200</v>
      </c>
      <c r="H14" s="27">
        <v>145600</v>
      </c>
      <c r="K14" s="41" t="s">
        <v>49</v>
      </c>
      <c r="L14" s="48"/>
      <c r="M14" s="48">
        <f>L13</f>
        <v>-36000</v>
      </c>
    </row>
    <row r="15" spans="1:13" ht="15.5" thickTop="1" thickBot="1" x14ac:dyDescent="0.4">
      <c r="A15" s="25" t="s">
        <v>11</v>
      </c>
      <c r="B15" s="32">
        <f>B13-B14</f>
        <v>44220</v>
      </c>
      <c r="C15" s="33">
        <f>C13-C14</f>
        <v>87960</v>
      </c>
      <c r="F15" s="18" t="s">
        <v>27</v>
      </c>
      <c r="G15" s="26">
        <v>225000</v>
      </c>
      <c r="H15" s="27">
        <v>200000</v>
      </c>
      <c r="K15" s="42" t="s">
        <v>50</v>
      </c>
      <c r="L15" s="43"/>
      <c r="M15" s="44"/>
    </row>
    <row r="16" spans="1:13" ht="15" thickTop="1" x14ac:dyDescent="0.35">
      <c r="F16" s="18" t="s">
        <v>28</v>
      </c>
      <c r="G16" s="28">
        <v>140000</v>
      </c>
      <c r="H16" s="29">
        <v>136000</v>
      </c>
      <c r="K16" s="18" t="s">
        <v>44</v>
      </c>
      <c r="L16" s="26">
        <f>G15-H15</f>
        <v>25000</v>
      </c>
      <c r="M16" s="27"/>
    </row>
    <row r="17" spans="1:13" x14ac:dyDescent="0.35">
      <c r="F17" s="15" t="s">
        <v>29</v>
      </c>
      <c r="G17" s="34">
        <f>SUM(G14:G16)</f>
        <v>540200</v>
      </c>
      <c r="H17" s="35">
        <f>SUM(H14:H16)</f>
        <v>481600</v>
      </c>
      <c r="K17" s="18" t="s">
        <v>45</v>
      </c>
      <c r="L17" s="26">
        <f>G18-H18</f>
        <v>101180</v>
      </c>
      <c r="M17" s="27"/>
    </row>
    <row r="18" spans="1:13" x14ac:dyDescent="0.35">
      <c r="A18" s="1" t="s">
        <v>14</v>
      </c>
      <c r="F18" s="18" t="s">
        <v>30</v>
      </c>
      <c r="G18" s="28">
        <v>424612</v>
      </c>
      <c r="H18" s="29">
        <v>323432</v>
      </c>
      <c r="K18" s="18" t="s">
        <v>46</v>
      </c>
      <c r="L18" s="26">
        <f>G20-H20</f>
        <v>0</v>
      </c>
      <c r="M18" s="27"/>
    </row>
    <row r="19" spans="1:13" x14ac:dyDescent="0.35">
      <c r="A19" s="1" t="s">
        <v>15</v>
      </c>
      <c r="B19" s="2">
        <v>0.4</v>
      </c>
      <c r="F19" s="15" t="s">
        <v>31</v>
      </c>
      <c r="G19" s="34">
        <f>G17+G18</f>
        <v>964812</v>
      </c>
      <c r="H19" s="35">
        <f>H17+H18</f>
        <v>805032</v>
      </c>
      <c r="K19" s="18" t="s">
        <v>54</v>
      </c>
      <c r="L19" s="28">
        <f>-(B15-(G21-H21))</f>
        <v>-22000</v>
      </c>
      <c r="M19" s="29"/>
    </row>
    <row r="20" spans="1:13" x14ac:dyDescent="0.35">
      <c r="F20" s="18" t="s">
        <v>32</v>
      </c>
      <c r="G20" s="26">
        <v>460000</v>
      </c>
      <c r="H20" s="27">
        <v>460000</v>
      </c>
      <c r="K20" s="41" t="s">
        <v>53</v>
      </c>
      <c r="L20" s="49"/>
      <c r="M20" s="50">
        <f>SUM(L16:L19)</f>
        <v>104180</v>
      </c>
    </row>
    <row r="21" spans="1:13" ht="15" thickBot="1" x14ac:dyDescent="0.4">
      <c r="F21" s="18" t="s">
        <v>33</v>
      </c>
      <c r="G21" s="28">
        <v>225988</v>
      </c>
      <c r="H21" s="29">
        <v>203768</v>
      </c>
      <c r="K21" s="38" t="s">
        <v>55</v>
      </c>
      <c r="L21" s="39"/>
      <c r="M21" s="40">
        <f>SUM(M11,M14,M20)</f>
        <v>-5600</v>
      </c>
    </row>
    <row r="22" spans="1:13" x14ac:dyDescent="0.35">
      <c r="F22" s="15" t="s">
        <v>34</v>
      </c>
      <c r="G22" s="36">
        <f>G20+G21</f>
        <v>685988</v>
      </c>
      <c r="H22" s="37">
        <f>H20+H21</f>
        <v>663768</v>
      </c>
    </row>
    <row r="23" spans="1:13" ht="15" thickBot="1" x14ac:dyDescent="0.4">
      <c r="F23" s="38" t="s">
        <v>35</v>
      </c>
      <c r="G23" s="39">
        <f>G19+G22</f>
        <v>1650800</v>
      </c>
      <c r="H23" s="40">
        <f>H19+H22</f>
        <v>1468800</v>
      </c>
    </row>
  </sheetData>
  <pageMargins left="0.7" right="0.7" top="0.75" bottom="0.75" header="0.3" footer="0.3"/>
  <ignoredErrors>
    <ignoredError sqref="B14:C14" formula="1"/>
    <ignoredError sqref="G8:H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9FB8-B44B-402C-816E-80B47CB95B4F}">
  <dimension ref="A1:T39"/>
  <sheetViews>
    <sheetView topLeftCell="A19" workbookViewId="0">
      <selection activeCell="E32" sqref="E32"/>
    </sheetView>
  </sheetViews>
  <sheetFormatPr defaultRowHeight="14.5" x14ac:dyDescent="0.35"/>
  <cols>
    <col min="1" max="1" width="23.54296875" customWidth="1"/>
    <col min="3" max="3" width="10.81640625" style="52" bestFit="1" customWidth="1"/>
    <col min="4" max="4" width="8.7265625" style="52"/>
    <col min="5" max="5" width="9.36328125" style="52" bestFit="1" customWidth="1"/>
    <col min="6" max="7" width="8.7265625" style="52" customWidth="1"/>
    <col min="8" max="8" width="11.08984375" style="52" customWidth="1"/>
    <col min="9" max="9" width="8.7265625" style="52"/>
    <col min="12" max="12" width="23.54296875" customWidth="1"/>
    <col min="14" max="14" width="10.81640625" bestFit="1" customWidth="1"/>
    <col min="16" max="16" width="9.36328125" bestFit="1" customWidth="1"/>
    <col min="19" max="19" width="11.08984375" customWidth="1"/>
  </cols>
  <sheetData>
    <row r="1" spans="1:20" ht="15" thickTop="1" x14ac:dyDescent="0.35">
      <c r="A1" s="7" t="s">
        <v>56</v>
      </c>
      <c r="B1" s="8"/>
      <c r="C1" s="8"/>
      <c r="D1" s="8"/>
      <c r="E1" s="8"/>
      <c r="F1" s="8"/>
      <c r="G1" s="8"/>
      <c r="H1" s="8"/>
      <c r="I1" s="9"/>
      <c r="L1" s="7" t="s">
        <v>56</v>
      </c>
      <c r="M1" s="8"/>
      <c r="N1" s="8"/>
      <c r="O1" s="8"/>
      <c r="P1" s="8"/>
      <c r="Q1" s="8"/>
      <c r="R1" s="8"/>
      <c r="S1" s="8"/>
      <c r="T1" s="9"/>
    </row>
    <row r="2" spans="1:20" x14ac:dyDescent="0.35">
      <c r="A2" s="10" t="s">
        <v>57</v>
      </c>
      <c r="B2" s="3"/>
      <c r="C2" s="3"/>
      <c r="D2" s="3"/>
      <c r="E2" s="3"/>
      <c r="F2" s="3"/>
      <c r="G2" s="3"/>
      <c r="H2" s="3"/>
      <c r="I2" s="11"/>
      <c r="L2" s="10" t="s">
        <v>57</v>
      </c>
      <c r="M2" s="3"/>
      <c r="N2" s="3"/>
      <c r="O2" s="3"/>
      <c r="P2" s="3"/>
      <c r="Q2" s="3"/>
      <c r="R2" s="3"/>
      <c r="S2" s="3"/>
      <c r="T2" s="11"/>
    </row>
    <row r="3" spans="1:20" ht="15" thickBot="1" x14ac:dyDescent="0.4">
      <c r="A3" s="10" t="str">
        <f>"For the period "&amp;TEXT(C4,"mmmm")&amp;"  to "&amp;TEXT(I4,"mmmm yyyy")&amp;""</f>
        <v>For the period April  to October 2015</v>
      </c>
      <c r="B3" s="3"/>
      <c r="C3" s="3"/>
      <c r="D3" s="3"/>
      <c r="E3" s="3"/>
      <c r="F3" s="3"/>
      <c r="G3" s="3"/>
      <c r="H3" s="3"/>
      <c r="I3" s="11"/>
      <c r="L3" s="10" t="str">
        <f>"For the period "&amp;TEXT(N4,"mmmm")&amp;"  to "&amp;TEXT(T4,"mmmm yyyy")&amp;""</f>
        <v>For the period April  to October 2015</v>
      </c>
      <c r="M3" s="3"/>
      <c r="N3" s="3"/>
      <c r="O3" s="3"/>
      <c r="P3" s="3"/>
      <c r="Q3" s="3"/>
      <c r="R3" s="3"/>
      <c r="S3" s="3"/>
      <c r="T3" s="11"/>
    </row>
    <row r="4" spans="1:20" ht="15.5" thickTop="1" thickBot="1" x14ac:dyDescent="0.4">
      <c r="A4" s="12"/>
      <c r="B4" s="4"/>
      <c r="C4" s="51">
        <f>DATE(2015,4,1)</f>
        <v>42095</v>
      </c>
      <c r="D4" s="51">
        <f>DATE(YEAR(C4),MONTH(C4)+1,DAY(C4))</f>
        <v>42125</v>
      </c>
      <c r="E4" s="51">
        <f t="shared" ref="E4:I4" si="0">DATE(YEAR(D4),MONTH(D4)+1,DAY(D4))</f>
        <v>42156</v>
      </c>
      <c r="F4" s="51">
        <f t="shared" si="0"/>
        <v>42186</v>
      </c>
      <c r="G4" s="51">
        <f t="shared" si="0"/>
        <v>42217</v>
      </c>
      <c r="H4" s="51">
        <f t="shared" si="0"/>
        <v>42248</v>
      </c>
      <c r="I4" s="64">
        <f t="shared" si="0"/>
        <v>42278</v>
      </c>
      <c r="L4" s="12"/>
      <c r="M4" s="4"/>
      <c r="N4" s="51">
        <f>DATE(2015,4,1)</f>
        <v>42095</v>
      </c>
      <c r="O4" s="51">
        <f>DATE(YEAR(N4),MONTH(N4)+1,DAY(N4))</f>
        <v>42125</v>
      </c>
      <c r="P4" s="51">
        <f t="shared" ref="P4" si="1">DATE(YEAR(O4),MONTH(O4)+1,DAY(O4))</f>
        <v>42156</v>
      </c>
      <c r="Q4" s="51">
        <f t="shared" ref="Q4" si="2">DATE(YEAR(P4),MONTH(P4)+1,DAY(P4))</f>
        <v>42186</v>
      </c>
      <c r="R4" s="51">
        <f t="shared" ref="R4" si="3">DATE(YEAR(Q4),MONTH(Q4)+1,DAY(Q4))</f>
        <v>42217</v>
      </c>
      <c r="S4" s="51">
        <f t="shared" ref="S4" si="4">DATE(YEAR(R4),MONTH(R4)+1,DAY(R4))</f>
        <v>42248</v>
      </c>
      <c r="T4" s="64">
        <f t="shared" ref="T4" si="5">DATE(YEAR(S4),MONTH(S4)+1,DAY(S4))</f>
        <v>42278</v>
      </c>
    </row>
    <row r="5" spans="1:20" ht="15" thickTop="1" x14ac:dyDescent="0.35">
      <c r="A5" s="18" t="s">
        <v>3</v>
      </c>
      <c r="C5" s="52">
        <v>291000</v>
      </c>
      <c r="D5" s="52">
        <v>365000</v>
      </c>
      <c r="E5" s="52">
        <v>387000</v>
      </c>
      <c r="F5" s="52">
        <v>329000</v>
      </c>
      <c r="G5" s="52">
        <v>238000</v>
      </c>
      <c r="H5" s="52">
        <v>145000</v>
      </c>
      <c r="I5" s="57">
        <v>365000</v>
      </c>
      <c r="L5" s="18" t="s">
        <v>3</v>
      </c>
      <c r="N5" s="52">
        <v>291000</v>
      </c>
      <c r="O5" s="52">
        <v>365000</v>
      </c>
      <c r="P5" s="52">
        <v>387000</v>
      </c>
      <c r="Q5" s="52">
        <v>329000</v>
      </c>
      <c r="R5" s="52">
        <v>238000</v>
      </c>
      <c r="S5" s="52">
        <v>145000</v>
      </c>
      <c r="T5" s="57">
        <v>365000</v>
      </c>
    </row>
    <row r="6" spans="1:20" x14ac:dyDescent="0.35">
      <c r="A6" s="58" t="s">
        <v>58</v>
      </c>
      <c r="I6" s="57"/>
      <c r="L6" s="58" t="s">
        <v>58</v>
      </c>
      <c r="N6" s="52"/>
      <c r="O6" s="52"/>
      <c r="P6" s="52"/>
      <c r="Q6" s="52"/>
      <c r="R6" s="52"/>
      <c r="S6" s="52"/>
      <c r="T6" s="57"/>
    </row>
    <row r="7" spans="1:20" x14ac:dyDescent="0.35">
      <c r="A7" s="14" t="s">
        <v>61</v>
      </c>
      <c r="B7" s="2">
        <v>0.4</v>
      </c>
      <c r="C7" s="52">
        <f t="shared" ref="C7:I7" si="6">C5*$B7</f>
        <v>116400</v>
      </c>
      <c r="D7" s="52">
        <f t="shared" si="6"/>
        <v>146000</v>
      </c>
      <c r="E7" s="52">
        <f t="shared" si="6"/>
        <v>154800</v>
      </c>
      <c r="F7" s="52">
        <f t="shared" si="6"/>
        <v>131600</v>
      </c>
      <c r="G7" s="52">
        <f t="shared" si="6"/>
        <v>95200</v>
      </c>
      <c r="H7" s="52">
        <f t="shared" si="6"/>
        <v>58000</v>
      </c>
      <c r="I7" s="57">
        <f t="shared" si="6"/>
        <v>146000</v>
      </c>
      <c r="L7" s="14" t="s">
        <v>61</v>
      </c>
      <c r="M7" s="2">
        <v>0.4</v>
      </c>
      <c r="N7" s="52">
        <f t="shared" ref="N7:T7" si="7">N5*$B7</f>
        <v>116400</v>
      </c>
      <c r="O7" s="52">
        <f t="shared" si="7"/>
        <v>146000</v>
      </c>
      <c r="P7" s="52">
        <f t="shared" si="7"/>
        <v>154800</v>
      </c>
      <c r="Q7" s="52">
        <f t="shared" si="7"/>
        <v>131600</v>
      </c>
      <c r="R7" s="52">
        <f t="shared" si="7"/>
        <v>95200</v>
      </c>
      <c r="S7" s="52">
        <f t="shared" si="7"/>
        <v>58000</v>
      </c>
      <c r="T7" s="57">
        <f t="shared" si="7"/>
        <v>146000</v>
      </c>
    </row>
    <row r="8" spans="1:20" x14ac:dyDescent="0.35">
      <c r="A8" s="14" t="s">
        <v>62</v>
      </c>
      <c r="B8" s="2">
        <f>75%*60%</f>
        <v>0.44999999999999996</v>
      </c>
      <c r="D8" s="52">
        <f t="shared" ref="D8:I8" si="8">C5*$B8</f>
        <v>130949.99999999999</v>
      </c>
      <c r="E8" s="52">
        <f t="shared" si="8"/>
        <v>164249.99999999997</v>
      </c>
      <c r="F8" s="52">
        <f t="shared" si="8"/>
        <v>174149.99999999997</v>
      </c>
      <c r="G8" s="52">
        <f t="shared" si="8"/>
        <v>148049.99999999997</v>
      </c>
      <c r="H8" s="52">
        <f t="shared" si="8"/>
        <v>107099.99999999999</v>
      </c>
      <c r="I8" s="57">
        <f t="shared" si="8"/>
        <v>65249.999999999993</v>
      </c>
      <c r="L8" s="14" t="s">
        <v>62</v>
      </c>
      <c r="M8" s="2">
        <f>75%*60%</f>
        <v>0.44999999999999996</v>
      </c>
      <c r="N8" s="52"/>
      <c r="O8" s="52">
        <f>N5*$B8</f>
        <v>130949.99999999999</v>
      </c>
      <c r="P8" s="52">
        <f t="shared" ref="P8:T8" si="9">O5*$B8</f>
        <v>164249.99999999997</v>
      </c>
      <c r="Q8" s="52">
        <f t="shared" si="9"/>
        <v>174149.99999999997</v>
      </c>
      <c r="R8" s="52">
        <f t="shared" si="9"/>
        <v>148049.99999999997</v>
      </c>
      <c r="S8" s="52">
        <f t="shared" si="9"/>
        <v>107099.99999999999</v>
      </c>
      <c r="T8" s="57">
        <f t="shared" si="9"/>
        <v>65249.999999999993</v>
      </c>
    </row>
    <row r="9" spans="1:20" x14ac:dyDescent="0.35">
      <c r="A9" s="14" t="s">
        <v>63</v>
      </c>
      <c r="B9" s="2">
        <f>60%-45%</f>
        <v>0.14999999999999997</v>
      </c>
      <c r="E9" s="52">
        <f>C5*$B9</f>
        <v>43649.999999999993</v>
      </c>
      <c r="F9" s="52">
        <f>D5*$B9</f>
        <v>54749.999999999985</v>
      </c>
      <c r="G9" s="52">
        <f>E5*$B9</f>
        <v>58049.999999999985</v>
      </c>
      <c r="H9" s="52">
        <f>F5*$B9</f>
        <v>49349.999999999985</v>
      </c>
      <c r="I9" s="57">
        <f>G5*$B9</f>
        <v>35699.999999999993</v>
      </c>
      <c r="L9" s="14" t="s">
        <v>63</v>
      </c>
      <c r="M9" s="2">
        <f>60%-45%</f>
        <v>0.14999999999999997</v>
      </c>
      <c r="N9" s="53"/>
      <c r="O9" s="53"/>
      <c r="P9" s="53">
        <f>N5*$B9</f>
        <v>43649.999999999993</v>
      </c>
      <c r="Q9" s="53">
        <f>O5*$B9</f>
        <v>54749.999999999985</v>
      </c>
      <c r="R9" s="53">
        <f>P5*$B9</f>
        <v>58049.999999999985</v>
      </c>
      <c r="S9" s="53">
        <f>Q5*$B9</f>
        <v>49349.999999999985</v>
      </c>
      <c r="T9" s="65">
        <f>R5*$B9</f>
        <v>35699.999999999993</v>
      </c>
    </row>
    <row r="10" spans="1:20" x14ac:dyDescent="0.35">
      <c r="A10" s="59" t="s">
        <v>64</v>
      </c>
      <c r="E10" s="52">
        <f>SUM(E7:E9)</f>
        <v>362700</v>
      </c>
      <c r="F10" s="52">
        <f t="shared" ref="F10:H10" si="10">SUM(F7:F9)</f>
        <v>360500</v>
      </c>
      <c r="G10" s="52">
        <f t="shared" si="10"/>
        <v>301299.99999999994</v>
      </c>
      <c r="H10" s="52">
        <f t="shared" si="10"/>
        <v>214450</v>
      </c>
      <c r="I10" s="57">
        <f>SUM(I7:I9)</f>
        <v>246950</v>
      </c>
      <c r="L10" s="59" t="s">
        <v>64</v>
      </c>
      <c r="N10" s="54"/>
      <c r="O10" s="54"/>
      <c r="P10" s="54">
        <f>SUM(P7:P9)</f>
        <v>362700</v>
      </c>
      <c r="Q10" s="54">
        <f t="shared" ref="Q10" si="11">SUM(Q7:Q9)</f>
        <v>360500</v>
      </c>
      <c r="R10" s="54">
        <f t="shared" ref="R10" si="12">SUM(R7:R9)</f>
        <v>301299.99999999994</v>
      </c>
      <c r="S10" s="54">
        <f t="shared" ref="S10" si="13">SUM(S7:S9)</f>
        <v>214450</v>
      </c>
      <c r="T10" s="66">
        <f>SUM(T7:T9)</f>
        <v>246950</v>
      </c>
    </row>
    <row r="11" spans="1:20" x14ac:dyDescent="0.35">
      <c r="A11" s="24" t="s">
        <v>59</v>
      </c>
      <c r="B11" s="2">
        <v>0.5</v>
      </c>
      <c r="C11" s="52">
        <f>D5*$B11</f>
        <v>182500</v>
      </c>
      <c r="D11" s="52">
        <f t="shared" ref="D11:H11" si="14">E5*$B11</f>
        <v>193500</v>
      </c>
      <c r="E11" s="52">
        <f t="shared" si="14"/>
        <v>164500</v>
      </c>
      <c r="F11" s="52">
        <f t="shared" si="14"/>
        <v>119000</v>
      </c>
      <c r="G11" s="52">
        <f t="shared" si="14"/>
        <v>72500</v>
      </c>
      <c r="H11" s="52">
        <f t="shared" si="14"/>
        <v>182500</v>
      </c>
      <c r="I11" s="57"/>
      <c r="L11" s="24" t="s">
        <v>59</v>
      </c>
      <c r="M11" s="2">
        <v>0.5</v>
      </c>
      <c r="N11" s="52">
        <f>O5*$B11</f>
        <v>182500</v>
      </c>
      <c r="O11" s="52">
        <f t="shared" ref="O11:R11" si="15">P5*$B11</f>
        <v>193500</v>
      </c>
      <c r="P11" s="52">
        <f t="shared" si="15"/>
        <v>164500</v>
      </c>
      <c r="Q11" s="52">
        <f t="shared" si="15"/>
        <v>119000</v>
      </c>
      <c r="R11" s="52">
        <f t="shared" si="15"/>
        <v>72500</v>
      </c>
      <c r="S11" s="52">
        <f>T5*$B11</f>
        <v>182500</v>
      </c>
      <c r="T11" s="57"/>
    </row>
    <row r="12" spans="1:20" x14ac:dyDescent="0.35">
      <c r="A12" s="58" t="s">
        <v>60</v>
      </c>
      <c r="I12" s="57"/>
      <c r="L12" s="58" t="s">
        <v>60</v>
      </c>
      <c r="N12" s="52"/>
      <c r="O12" s="52"/>
      <c r="P12" s="52"/>
      <c r="Q12" s="52"/>
      <c r="R12" s="52"/>
      <c r="S12" s="52"/>
      <c r="T12" s="57"/>
    </row>
    <row r="13" spans="1:20" x14ac:dyDescent="0.35">
      <c r="A13" s="14" t="s">
        <v>62</v>
      </c>
      <c r="B13" s="2">
        <v>0.6</v>
      </c>
      <c r="D13" s="52">
        <f t="shared" ref="D13:I13" si="16">C11*$B13</f>
        <v>109500</v>
      </c>
      <c r="E13" s="52">
        <f t="shared" si="16"/>
        <v>116100</v>
      </c>
      <c r="F13" s="52">
        <f t="shared" si="16"/>
        <v>98700</v>
      </c>
      <c r="G13" s="52">
        <f t="shared" si="16"/>
        <v>71400</v>
      </c>
      <c r="H13" s="52">
        <f t="shared" si="16"/>
        <v>43500</v>
      </c>
      <c r="I13" s="57">
        <f t="shared" si="16"/>
        <v>109500</v>
      </c>
      <c r="L13" s="14" t="s">
        <v>62</v>
      </c>
      <c r="M13" s="2">
        <v>0.6</v>
      </c>
      <c r="N13" s="52"/>
      <c r="O13" s="52">
        <f>N11*$B13</f>
        <v>109500</v>
      </c>
      <c r="P13" s="52">
        <f t="shared" ref="P13:T13" si="17">O11*$B13</f>
        <v>116100</v>
      </c>
      <c r="Q13" s="52">
        <f t="shared" si="17"/>
        <v>98700</v>
      </c>
      <c r="R13" s="52">
        <f t="shared" si="17"/>
        <v>71400</v>
      </c>
      <c r="S13" s="52">
        <f t="shared" si="17"/>
        <v>43500</v>
      </c>
      <c r="T13" s="57">
        <f t="shared" si="17"/>
        <v>109500</v>
      </c>
    </row>
    <row r="14" spans="1:20" x14ac:dyDescent="0.35">
      <c r="A14" s="14" t="s">
        <v>63</v>
      </c>
      <c r="B14" s="2">
        <v>0.4</v>
      </c>
      <c r="E14" s="52">
        <f>C11*$B14</f>
        <v>73000</v>
      </c>
      <c r="F14" s="52">
        <f>D11*$B14</f>
        <v>77400</v>
      </c>
      <c r="G14" s="52">
        <f>E11*$B14</f>
        <v>65800</v>
      </c>
      <c r="H14" s="52">
        <f>F11*$B14</f>
        <v>47600</v>
      </c>
      <c r="I14" s="57">
        <f>G11*$B14</f>
        <v>29000</v>
      </c>
      <c r="L14" s="14" t="s">
        <v>63</v>
      </c>
      <c r="M14" s="2">
        <v>0.4</v>
      </c>
      <c r="N14" s="52"/>
      <c r="O14" s="52"/>
      <c r="P14" s="52">
        <f>N11*$B14</f>
        <v>73000</v>
      </c>
      <c r="Q14" s="52">
        <f>O11*$B14</f>
        <v>77400</v>
      </c>
      <c r="R14" s="52">
        <f>P11*$B14</f>
        <v>65800</v>
      </c>
      <c r="S14" s="52">
        <f>Q11*$B14</f>
        <v>47600</v>
      </c>
      <c r="T14" s="57">
        <f>R11*$B14</f>
        <v>29000</v>
      </c>
    </row>
    <row r="15" spans="1:20" x14ac:dyDescent="0.35">
      <c r="A15" s="59" t="s">
        <v>65</v>
      </c>
      <c r="E15" s="52">
        <f>E13+E14</f>
        <v>189100</v>
      </c>
      <c r="F15" s="52">
        <f t="shared" ref="F15:H15" si="18">F13+F14</f>
        <v>176100</v>
      </c>
      <c r="G15" s="52">
        <f t="shared" si="18"/>
        <v>137200</v>
      </c>
      <c r="H15" s="52">
        <f t="shared" si="18"/>
        <v>91100</v>
      </c>
      <c r="I15" s="57"/>
      <c r="L15" s="59" t="s">
        <v>65</v>
      </c>
      <c r="N15" s="54"/>
      <c r="O15" s="54"/>
      <c r="P15" s="54">
        <f>P13+P14</f>
        <v>189100</v>
      </c>
      <c r="Q15" s="54">
        <f t="shared" ref="Q15" si="19">Q13+Q14</f>
        <v>176100</v>
      </c>
      <c r="R15" s="54">
        <f t="shared" ref="R15" si="20">R13+R14</f>
        <v>137200</v>
      </c>
      <c r="S15" s="54">
        <f t="shared" ref="S15" si="21">S13+S14</f>
        <v>91100</v>
      </c>
      <c r="T15" s="66"/>
    </row>
    <row r="16" spans="1:20" x14ac:dyDescent="0.35">
      <c r="A16" s="18"/>
      <c r="I16" s="57"/>
      <c r="L16" s="18"/>
      <c r="N16" s="52"/>
      <c r="O16" s="52"/>
      <c r="P16" s="52"/>
      <c r="Q16" s="52"/>
      <c r="R16" s="52"/>
      <c r="S16" s="52"/>
      <c r="T16" s="57"/>
    </row>
    <row r="17" spans="1:20" x14ac:dyDescent="0.35">
      <c r="A17" s="18" t="s">
        <v>58</v>
      </c>
      <c r="E17" s="52">
        <f>E10</f>
        <v>362700</v>
      </c>
      <c r="F17" s="52">
        <f t="shared" ref="F17:H17" si="22">F10</f>
        <v>360500</v>
      </c>
      <c r="G17" s="52">
        <f t="shared" si="22"/>
        <v>301299.99999999994</v>
      </c>
      <c r="H17" s="52">
        <f t="shared" si="22"/>
        <v>214450</v>
      </c>
      <c r="I17" s="57"/>
      <c r="L17" s="18" t="s">
        <v>58</v>
      </c>
      <c r="N17" s="52"/>
      <c r="O17" s="52"/>
      <c r="P17" s="52">
        <f>P10</f>
        <v>362700</v>
      </c>
      <c r="Q17" s="52">
        <f t="shared" ref="Q17:S17" si="23">Q10</f>
        <v>360500</v>
      </c>
      <c r="R17" s="52">
        <f t="shared" si="23"/>
        <v>301299.99999999994</v>
      </c>
      <c r="S17" s="52">
        <f t="shared" si="23"/>
        <v>214450</v>
      </c>
      <c r="T17" s="57"/>
    </row>
    <row r="18" spans="1:20" x14ac:dyDescent="0.35">
      <c r="A18" s="18" t="s">
        <v>66</v>
      </c>
      <c r="I18" s="57"/>
      <c r="L18" s="18" t="s">
        <v>66</v>
      </c>
      <c r="N18" s="52"/>
      <c r="O18" s="52"/>
      <c r="P18" s="52"/>
      <c r="Q18" s="52"/>
      <c r="R18" s="52"/>
      <c r="S18" s="52"/>
      <c r="T18" s="57"/>
    </row>
    <row r="19" spans="1:20" x14ac:dyDescent="0.35">
      <c r="A19" s="14" t="s">
        <v>67</v>
      </c>
      <c r="E19" s="52">
        <f>E15</f>
        <v>189100</v>
      </c>
      <c r="F19" s="52">
        <f t="shared" ref="F19:H19" si="24">F15</f>
        <v>176100</v>
      </c>
      <c r="G19" s="52">
        <f t="shared" si="24"/>
        <v>137200</v>
      </c>
      <c r="H19" s="52">
        <f t="shared" si="24"/>
        <v>91100</v>
      </c>
      <c r="I19" s="57"/>
      <c r="L19" s="14" t="s">
        <v>67</v>
      </c>
      <c r="N19" s="52"/>
      <c r="O19" s="52"/>
      <c r="P19" s="52">
        <f>P15</f>
        <v>189100</v>
      </c>
      <c r="Q19" s="52">
        <f t="shared" ref="Q19:S19" si="25">Q15</f>
        <v>176100</v>
      </c>
      <c r="R19" s="52">
        <f t="shared" si="25"/>
        <v>137200</v>
      </c>
      <c r="S19" s="52">
        <f t="shared" si="25"/>
        <v>91100</v>
      </c>
      <c r="T19" s="57"/>
    </row>
    <row r="20" spans="1:20" x14ac:dyDescent="0.35">
      <c r="A20" s="14" t="s">
        <v>68</v>
      </c>
      <c r="B20" s="2">
        <v>0.2</v>
      </c>
      <c r="E20" s="52">
        <f>E5*$B$20</f>
        <v>77400</v>
      </c>
      <c r="F20" s="52">
        <f t="shared" ref="F20:H20" si="26">F5*$B$20</f>
        <v>65800</v>
      </c>
      <c r="G20" s="52">
        <f t="shared" si="26"/>
        <v>47600</v>
      </c>
      <c r="H20" s="52">
        <f t="shared" si="26"/>
        <v>29000</v>
      </c>
      <c r="I20" s="57"/>
      <c r="L20" s="14" t="s">
        <v>68</v>
      </c>
      <c r="M20" s="2">
        <v>0.2</v>
      </c>
      <c r="N20" s="52"/>
      <c r="O20" s="52"/>
      <c r="P20" s="52">
        <f>P5*$B$20</f>
        <v>77400</v>
      </c>
      <c r="Q20" s="52">
        <f t="shared" ref="Q20:S20" si="27">Q5*$B$20</f>
        <v>65800</v>
      </c>
      <c r="R20" s="52">
        <f t="shared" si="27"/>
        <v>47600</v>
      </c>
      <c r="S20" s="52">
        <f t="shared" si="27"/>
        <v>29000</v>
      </c>
      <c r="T20" s="57"/>
    </row>
    <row r="21" spans="1:20" x14ac:dyDescent="0.35">
      <c r="A21" s="14" t="s">
        <v>69</v>
      </c>
      <c r="E21" s="52">
        <v>10000</v>
      </c>
      <c r="F21" s="52">
        <v>10000</v>
      </c>
      <c r="G21" s="52">
        <v>10000</v>
      </c>
      <c r="H21" s="52">
        <v>10000</v>
      </c>
      <c r="I21" s="57"/>
      <c r="L21" s="14" t="s">
        <v>69</v>
      </c>
      <c r="N21" s="52"/>
      <c r="O21" s="52"/>
      <c r="P21" s="52">
        <v>10000</v>
      </c>
      <c r="Q21" s="52">
        <v>10000</v>
      </c>
      <c r="R21" s="52">
        <v>10000</v>
      </c>
      <c r="S21" s="52">
        <v>10000</v>
      </c>
      <c r="T21" s="57"/>
    </row>
    <row r="22" spans="1:20" x14ac:dyDescent="0.35">
      <c r="A22" s="14" t="s">
        <v>73</v>
      </c>
      <c r="E22" s="52">
        <v>30000</v>
      </c>
      <c r="F22" s="52">
        <v>0</v>
      </c>
      <c r="G22" s="52">
        <v>0</v>
      </c>
      <c r="H22" s="52">
        <v>30000</v>
      </c>
      <c r="I22" s="57"/>
      <c r="L22" s="14" t="s">
        <v>73</v>
      </c>
      <c r="N22" s="52"/>
      <c r="O22" s="52"/>
      <c r="P22" s="52">
        <v>30000</v>
      </c>
      <c r="Q22" s="52">
        <v>0</v>
      </c>
      <c r="R22" s="52">
        <v>0</v>
      </c>
      <c r="S22" s="52">
        <v>30000</v>
      </c>
      <c r="T22" s="57"/>
    </row>
    <row r="23" spans="1:20" x14ac:dyDescent="0.35">
      <c r="A23" s="14" t="s">
        <v>85</v>
      </c>
      <c r="E23" s="52">
        <f>IF(D34&gt;0,D34*$C$38,D34*$C$39)</f>
        <v>0</v>
      </c>
      <c r="F23" s="52">
        <f>IF(E34&gt;0,E34*$C$38,E34*$C$39)</f>
        <v>92</v>
      </c>
      <c r="G23" s="52">
        <f>IF(F34&gt;0,F34*$C$38,F34*$C$39)</f>
        <v>701.94666666666672</v>
      </c>
      <c r="H23" s="52">
        <f>IF(G34&gt;0,G34*$C$38,G34*$C$39)</f>
        <v>0</v>
      </c>
      <c r="I23" s="57"/>
      <c r="L23" s="14" t="s">
        <v>70</v>
      </c>
      <c r="N23" s="52"/>
      <c r="O23" s="52"/>
      <c r="P23" s="52">
        <v>50000</v>
      </c>
      <c r="Q23" s="52">
        <v>0</v>
      </c>
      <c r="R23" s="52">
        <v>0</v>
      </c>
      <c r="S23" s="52">
        <v>0</v>
      </c>
      <c r="T23" s="57"/>
    </row>
    <row r="24" spans="1:20" x14ac:dyDescent="0.35">
      <c r="A24" s="14" t="s">
        <v>70</v>
      </c>
      <c r="E24" s="52">
        <v>50000</v>
      </c>
      <c r="F24" s="52">
        <v>0</v>
      </c>
      <c r="G24" s="52">
        <v>0</v>
      </c>
      <c r="H24" s="52">
        <v>0</v>
      </c>
      <c r="I24" s="57"/>
      <c r="L24" s="14" t="s">
        <v>71</v>
      </c>
      <c r="N24" s="52"/>
      <c r="O24" s="52"/>
      <c r="P24" s="52">
        <v>25000</v>
      </c>
      <c r="Q24" s="52">
        <v>0</v>
      </c>
      <c r="R24" s="52">
        <v>0</v>
      </c>
      <c r="S24" s="52">
        <v>25000</v>
      </c>
      <c r="T24" s="57"/>
    </row>
    <row r="25" spans="1:20" x14ac:dyDescent="0.35">
      <c r="A25" s="14" t="s">
        <v>71</v>
      </c>
      <c r="E25" s="52">
        <v>25000</v>
      </c>
      <c r="F25" s="52">
        <v>0</v>
      </c>
      <c r="G25" s="52">
        <v>0</v>
      </c>
      <c r="H25" s="52">
        <v>25000</v>
      </c>
      <c r="I25" s="57"/>
      <c r="L25" s="14" t="s">
        <v>72</v>
      </c>
      <c r="N25" s="52"/>
      <c r="O25" s="52"/>
      <c r="P25" s="52">
        <v>0</v>
      </c>
      <c r="Q25" s="52">
        <v>200000</v>
      </c>
      <c r="R25" s="52">
        <v>0</v>
      </c>
      <c r="S25" s="52">
        <v>0</v>
      </c>
      <c r="T25" s="57"/>
    </row>
    <row r="26" spans="1:20" ht="15" thickBot="1" x14ac:dyDescent="0.4">
      <c r="A26" s="14" t="s">
        <v>72</v>
      </c>
      <c r="E26" s="52">
        <v>0</v>
      </c>
      <c r="F26" s="52">
        <v>200000</v>
      </c>
      <c r="G26" s="52">
        <v>0</v>
      </c>
      <c r="H26" s="52">
        <v>0</v>
      </c>
      <c r="I26" s="57"/>
      <c r="L26" s="41" t="s">
        <v>74</v>
      </c>
      <c r="N26" s="55"/>
      <c r="O26" s="55"/>
      <c r="P26" s="55">
        <f>SUM(P19:P25)</f>
        <v>381500</v>
      </c>
      <c r="Q26" s="55">
        <f>SUM(Q19:Q25)</f>
        <v>451900</v>
      </c>
      <c r="R26" s="55">
        <f>SUM(R19:R25)</f>
        <v>194800</v>
      </c>
      <c r="S26" s="55">
        <f>SUM(S19:S25)</f>
        <v>185100</v>
      </c>
      <c r="T26" s="67"/>
    </row>
    <row r="27" spans="1:20" ht="15" thickTop="1" x14ac:dyDescent="0.35">
      <c r="A27" s="41" t="s">
        <v>74</v>
      </c>
      <c r="E27" s="52">
        <f>SUM(E19:E26)</f>
        <v>381500</v>
      </c>
      <c r="F27" s="52">
        <f t="shared" ref="F27:H27" si="28">SUM(F19:F26)</f>
        <v>451992</v>
      </c>
      <c r="G27" s="52">
        <f t="shared" si="28"/>
        <v>195501.94666666666</v>
      </c>
      <c r="H27" s="52">
        <f t="shared" si="28"/>
        <v>185100</v>
      </c>
      <c r="I27" s="57"/>
      <c r="L27" s="24" t="s">
        <v>76</v>
      </c>
      <c r="N27" s="52"/>
      <c r="O27" s="52"/>
      <c r="P27" s="52">
        <f>O31</f>
        <v>20000</v>
      </c>
      <c r="Q27" s="52">
        <f t="shared" ref="Q27:S27" si="29">P31</f>
        <v>15000</v>
      </c>
      <c r="R27" s="52">
        <f t="shared" si="29"/>
        <v>15000</v>
      </c>
      <c r="S27" s="52">
        <f t="shared" si="29"/>
        <v>16299.999999999942</v>
      </c>
      <c r="T27" s="57"/>
    </row>
    <row r="28" spans="1:20" x14ac:dyDescent="0.35">
      <c r="A28" s="24" t="s">
        <v>76</v>
      </c>
      <c r="E28" s="52">
        <f>D33</f>
        <v>20000</v>
      </c>
      <c r="F28" s="52">
        <f>E33</f>
        <v>15000</v>
      </c>
      <c r="G28" s="52">
        <f>F33</f>
        <v>15000</v>
      </c>
      <c r="H28" s="52">
        <f>G33</f>
        <v>15506.053333333286</v>
      </c>
      <c r="I28" s="57"/>
      <c r="L28" s="24" t="s">
        <v>77</v>
      </c>
      <c r="N28" s="53"/>
      <c r="O28" s="53"/>
      <c r="P28" s="53">
        <f>P17-P26</f>
        <v>-18800</v>
      </c>
      <c r="Q28" s="53">
        <f>Q17-Q26</f>
        <v>-91400</v>
      </c>
      <c r="R28" s="53">
        <f>R17-R26</f>
        <v>106499.99999999994</v>
      </c>
      <c r="S28" s="53">
        <f>S17-S26</f>
        <v>29350</v>
      </c>
      <c r="T28" s="65"/>
    </row>
    <row r="29" spans="1:20" x14ac:dyDescent="0.35">
      <c r="A29" s="24" t="s">
        <v>77</v>
      </c>
      <c r="E29" s="52">
        <f>E17-E27</f>
        <v>-18800</v>
      </c>
      <c r="F29" s="52">
        <f t="shared" ref="F29:H29" si="30">F17-F27</f>
        <v>-91492</v>
      </c>
      <c r="G29" s="52">
        <f t="shared" si="30"/>
        <v>105798.05333333329</v>
      </c>
      <c r="H29" s="52">
        <f t="shared" si="30"/>
        <v>29350</v>
      </c>
      <c r="I29" s="57"/>
      <c r="L29" s="24" t="s">
        <v>78</v>
      </c>
      <c r="N29" s="52"/>
      <c r="O29" s="52"/>
      <c r="P29" s="52">
        <f>P27+P28</f>
        <v>1200</v>
      </c>
      <c r="Q29" s="52">
        <f t="shared" ref="Q29" si="31">Q27+Q28</f>
        <v>-76400</v>
      </c>
      <c r="R29" s="52">
        <f t="shared" ref="R29" si="32">R27+R28</f>
        <v>121499.99999999994</v>
      </c>
      <c r="S29" s="52">
        <f t="shared" ref="S29" si="33">S27+S28</f>
        <v>45649.999999999942</v>
      </c>
      <c r="T29" s="57"/>
    </row>
    <row r="30" spans="1:20" x14ac:dyDescent="0.35">
      <c r="A30" s="24" t="s">
        <v>78</v>
      </c>
      <c r="D30" s="52">
        <v>20000</v>
      </c>
      <c r="E30" s="52">
        <f>E28+E29</f>
        <v>1200</v>
      </c>
      <c r="F30" s="52">
        <f t="shared" ref="F30:H30" si="34">F28+F29</f>
        <v>-76492</v>
      </c>
      <c r="G30" s="52">
        <f t="shared" si="34"/>
        <v>120798.05333333329</v>
      </c>
      <c r="H30" s="52">
        <f t="shared" si="34"/>
        <v>44856.053333333286</v>
      </c>
      <c r="I30" s="57"/>
      <c r="L30" s="24" t="s">
        <v>81</v>
      </c>
      <c r="N30" s="52"/>
      <c r="O30" s="52"/>
      <c r="P30" s="52">
        <f>IF($B$36&gt;P29,$B$36-P29,MAX($B$36-P29,-O32))</f>
        <v>13800</v>
      </c>
      <c r="Q30" s="52">
        <f>IF($B$36&gt;Q29,$B$36-Q29,MAX($B$36-Q29,-P32))</f>
        <v>91400</v>
      </c>
      <c r="R30" s="52">
        <f>IF($B$36&gt;R29,$B$36-R29,MAX($B$36-R29,-Q32))</f>
        <v>-105200</v>
      </c>
      <c r="S30" s="52">
        <f>IF($B$36&gt;S29,$B$36-S29,MAX($B$36-S29,-R32))</f>
        <v>0</v>
      </c>
      <c r="T30" s="57"/>
    </row>
    <row r="31" spans="1:20" ht="15" thickBot="1" x14ac:dyDescent="0.4">
      <c r="A31" s="24" t="s">
        <v>89</v>
      </c>
      <c r="E31" s="52">
        <f>IF(E30&lt;$B$36,IF(D34&lt;0,MAX($B$36+D34-E30,0),$B$36-E30),IF(D34&gt;0,-MIN(D34,E30-$B$36),0))</f>
        <v>13800</v>
      </c>
      <c r="F31" s="52">
        <f>IF(F30&lt;$B$36,IF(E34&lt;0,MAX($B$36+E34-F30,0),$B$36-F30),IF(E34&gt;0,-MIN(E34,F30-$B$36),0))</f>
        <v>91492</v>
      </c>
      <c r="G31" s="52">
        <f>IF(G30&lt;$B$36,IF(F34&lt;0,MAX($B$36+F34-G30,0),$B$36-G30),IF(F34&gt;0,-MIN(F34,G30-$B$36),0))</f>
        <v>-105292</v>
      </c>
      <c r="H31" s="52">
        <f>IF(H30&lt;$B$36,IF(G34&lt;0,MAX($B$36+G34-H30,0),$B$36-H30),IF(G34&gt;0,-MIN(G34,H30-$B$36),0))</f>
        <v>0</v>
      </c>
      <c r="I31" s="57"/>
      <c r="L31" s="59" t="s">
        <v>79</v>
      </c>
      <c r="N31" s="55"/>
      <c r="O31" s="55">
        <v>20000</v>
      </c>
      <c r="P31" s="55">
        <f>SUM(P29:P30)</f>
        <v>15000</v>
      </c>
      <c r="Q31" s="55">
        <f>SUM(Q29:Q30)</f>
        <v>15000</v>
      </c>
      <c r="R31" s="55">
        <f>SUM(R29:R30)</f>
        <v>16299.999999999942</v>
      </c>
      <c r="S31" s="55">
        <f>SUM(S29:S30)</f>
        <v>45649.999999999942</v>
      </c>
      <c r="T31" s="67"/>
    </row>
    <row r="32" spans="1:20" ht="15.5" thickTop="1" thickBot="1" x14ac:dyDescent="0.4">
      <c r="A32" s="24" t="s">
        <v>88</v>
      </c>
      <c r="E32" s="52">
        <f t="shared" ref="E32:H32" si="35">IF(AND(E30+E31&lt;$B$36,D34&lt;0),E30+E31-$B$36,IF(E30+E31&gt;$B$37,E30+E31-$B$37,0))</f>
        <v>0</v>
      </c>
      <c r="F32" s="52">
        <f t="shared" si="35"/>
        <v>0</v>
      </c>
      <c r="G32" s="52">
        <f t="shared" si="35"/>
        <v>0</v>
      </c>
      <c r="H32" s="52">
        <f t="shared" si="35"/>
        <v>4856.053333333286</v>
      </c>
      <c r="I32" s="57"/>
      <c r="L32" s="68" t="s">
        <v>80</v>
      </c>
      <c r="M32" s="61"/>
      <c r="N32" s="62"/>
      <c r="O32" s="62"/>
      <c r="P32" s="62">
        <f>O32+P30</f>
        <v>13800</v>
      </c>
      <c r="Q32" s="62">
        <f>P32+Q30</f>
        <v>105200</v>
      </c>
      <c r="R32" s="62">
        <f>Q32+R30</f>
        <v>0</v>
      </c>
      <c r="S32" s="62">
        <f>R32+S30</f>
        <v>0</v>
      </c>
      <c r="T32" s="63"/>
    </row>
    <row r="33" spans="1:20" ht="15" thickTop="1" x14ac:dyDescent="0.35">
      <c r="A33" s="59" t="s">
        <v>79</v>
      </c>
      <c r="D33" s="52">
        <f>D30+D31-D32</f>
        <v>20000</v>
      </c>
      <c r="E33" s="52">
        <f t="shared" ref="E33:H33" si="36">E30+E31-E32</f>
        <v>15000</v>
      </c>
      <c r="F33" s="52">
        <f t="shared" si="36"/>
        <v>15000</v>
      </c>
      <c r="G33" s="52">
        <f t="shared" si="36"/>
        <v>15506.053333333286</v>
      </c>
      <c r="H33" s="52">
        <f t="shared" si="36"/>
        <v>40000</v>
      </c>
      <c r="I33" s="57"/>
      <c r="L33" t="s">
        <v>14</v>
      </c>
      <c r="N33" s="52"/>
      <c r="O33" s="52"/>
      <c r="P33" s="52"/>
      <c r="Q33" s="52"/>
      <c r="R33" s="52"/>
      <c r="S33" s="52"/>
      <c r="T33" s="52"/>
    </row>
    <row r="34" spans="1:20" x14ac:dyDescent="0.35">
      <c r="A34" s="24" t="s">
        <v>87</v>
      </c>
      <c r="E34" s="52">
        <f>D34+E31-E32</f>
        <v>13800</v>
      </c>
      <c r="F34" s="52">
        <f t="shared" ref="F34:H34" si="37">E34+F31-F32</f>
        <v>105292</v>
      </c>
      <c r="G34" s="52">
        <f t="shared" si="37"/>
        <v>0</v>
      </c>
      <c r="H34" s="52">
        <f t="shared" si="37"/>
        <v>-4856.053333333286</v>
      </c>
      <c r="I34" s="57"/>
      <c r="J34" s="52">
        <f>MAX(E34:H34)</f>
        <v>105292</v>
      </c>
      <c r="L34" t="s">
        <v>75</v>
      </c>
      <c r="M34">
        <v>15000</v>
      </c>
      <c r="N34" s="52"/>
      <c r="O34" s="52"/>
      <c r="P34" s="52"/>
      <c r="Q34" s="52"/>
      <c r="R34" s="52"/>
      <c r="S34" s="52"/>
      <c r="T34" s="52"/>
    </row>
    <row r="35" spans="1:20" ht="15" thickBot="1" x14ac:dyDescent="0.4">
      <c r="A35" s="60" t="s">
        <v>86</v>
      </c>
      <c r="B35" s="61"/>
      <c r="C35" s="62"/>
      <c r="D35" s="62"/>
      <c r="E35" s="62">
        <f>E23+D35</f>
        <v>0</v>
      </c>
      <c r="F35" s="62">
        <f>F23+E35</f>
        <v>92</v>
      </c>
      <c r="G35" s="62">
        <f>G23+F35</f>
        <v>793.94666666666672</v>
      </c>
      <c r="H35" s="62">
        <f>H23+G35</f>
        <v>793.94666666666672</v>
      </c>
      <c r="I35" s="63"/>
    </row>
    <row r="36" spans="1:20" ht="15" thickTop="1" x14ac:dyDescent="0.35">
      <c r="A36" t="s">
        <v>75</v>
      </c>
      <c r="B36">
        <v>15000</v>
      </c>
    </row>
    <row r="37" spans="1:20" x14ac:dyDescent="0.35">
      <c r="A37" t="s">
        <v>82</v>
      </c>
      <c r="B37">
        <v>40000</v>
      </c>
    </row>
    <row r="38" spans="1:20" x14ac:dyDescent="0.35">
      <c r="A38" t="s">
        <v>83</v>
      </c>
      <c r="B38" s="2">
        <v>0.08</v>
      </c>
      <c r="C38" s="56">
        <f>B38/12</f>
        <v>6.6666666666666671E-3</v>
      </c>
      <c r="F38" s="52">
        <v>-5000</v>
      </c>
      <c r="G38" s="52">
        <f>B36-E30+F38</f>
        <v>8800</v>
      </c>
    </row>
    <row r="39" spans="1:20" x14ac:dyDescent="0.35">
      <c r="A39" t="s">
        <v>84</v>
      </c>
      <c r="B39" s="2">
        <v>0.06</v>
      </c>
      <c r="C39" s="56">
        <f>B39/12</f>
        <v>5.0000000000000001E-3</v>
      </c>
      <c r="F39" s="52">
        <v>100000</v>
      </c>
    </row>
  </sheetData>
  <scenarios current="1" show="1" sqref="E31:H31">
    <scenario name="June" locked="1" count="4" user="abdulrashid jibrin" comment="Created by abdulrashid jibrin on 2024-06-06_x000a_Modified by abdulrashid jibrin on 2024-06-06">
      <inputCells r="E26" val="200000" numFmtId="37"/>
      <inputCells r="F26" val="0" numFmtId="37"/>
      <inputCells r="G26" val="0" numFmtId="37"/>
      <inputCells r="H26" val="0" numFmtId="37"/>
    </scenario>
    <scenario name="July" locked="1" count="4" user="abdulrashid jibrin" comment="Created by abdulrashid jibrin on 2024-06-06">
      <inputCells r="E26" val="0" numFmtId="37"/>
      <inputCells r="F26" val="200000" numFmtId="37"/>
      <inputCells r="G26" val="0" numFmtId="37"/>
      <inputCells r="H26" val="0" numFmtId="37"/>
    </scenario>
    <scenario name="August" locked="1" count="4" user="abdulrashid jibrin" comment="Created by abdulrashid jibrin on 2024-06-06">
      <inputCells r="E26" val="0" numFmtId="37"/>
      <inputCells r="F26" val="0" numFmtId="37"/>
      <inputCells r="G26" val="200000" numFmtId="37"/>
      <inputCells r="H26" val="0" numFmtId="37"/>
    </scenario>
    <scenario name="Sept" locked="1" count="4" user="abdulrashid jibrin" comment="Created by abdulrashid jibrin on 2024-06-06">
      <inputCells r="E26" val="0" numFmtId="37"/>
      <inputCells r="F26" val="0" numFmtId="37"/>
      <inputCells r="G26" val="0" numFmtId="37"/>
      <inputCells r="H26" val="200000" numFmtId="37"/>
    </scenario>
  </scenarios>
  <phoneticPr fontId="5" type="noConversion"/>
  <dataValidations count="1">
    <dataValidation operator="greaterThanOrEqual" allowBlank="1" showInputMessage="1" showErrorMessage="1" sqref="J8:K11 H6:I6 S6:T6" xr:uid="{EDD293DE-4054-4979-BA58-A113FE53339A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2888-F707-48F4-ADEE-803EECDD6C68}">
  <dimension ref="A1:O42"/>
  <sheetViews>
    <sheetView workbookViewId="0">
      <selection sqref="A1:D15"/>
    </sheetView>
  </sheetViews>
  <sheetFormatPr defaultRowHeight="14.5" x14ac:dyDescent="0.35"/>
  <cols>
    <col min="1" max="1" width="30.6328125" customWidth="1"/>
    <col min="2" max="2" width="12.36328125" customWidth="1"/>
    <col min="3" max="4" width="12.54296875" bestFit="1" customWidth="1"/>
    <col min="7" max="7" width="30.7265625" customWidth="1"/>
    <col min="8" max="10" width="12.54296875" customWidth="1"/>
    <col min="13" max="13" width="30.6328125" customWidth="1"/>
  </cols>
  <sheetData>
    <row r="1" spans="1:15" ht="15" thickTop="1" x14ac:dyDescent="0.35">
      <c r="A1" s="7" t="s">
        <v>0</v>
      </c>
      <c r="B1" s="8"/>
      <c r="C1" s="19"/>
      <c r="D1" s="20"/>
      <c r="G1" s="7" t="s">
        <v>16</v>
      </c>
      <c r="H1" s="8"/>
      <c r="I1" s="8"/>
      <c r="J1" s="9"/>
      <c r="M1" s="7" t="s">
        <v>16</v>
      </c>
      <c r="N1" s="8"/>
      <c r="O1" s="9"/>
    </row>
    <row r="2" spans="1:15" x14ac:dyDescent="0.35">
      <c r="A2" s="10" t="s">
        <v>1</v>
      </c>
      <c r="B2" s="3"/>
      <c r="C2" s="6"/>
      <c r="D2" s="21"/>
      <c r="G2" s="10" t="s">
        <v>17</v>
      </c>
      <c r="H2" s="3"/>
      <c r="I2" s="3"/>
      <c r="J2" s="11"/>
      <c r="M2" s="10" t="s">
        <v>39</v>
      </c>
      <c r="N2" s="3"/>
      <c r="O2" s="11"/>
    </row>
    <row r="3" spans="1:15" ht="15" thickBot="1" x14ac:dyDescent="0.4">
      <c r="A3" s="10" t="s">
        <v>2</v>
      </c>
      <c r="B3" s="3"/>
      <c r="C3" s="6"/>
      <c r="D3" s="21"/>
      <c r="G3" s="10" t="s">
        <v>18</v>
      </c>
      <c r="H3" s="3"/>
      <c r="I3" s="3"/>
      <c r="J3" s="11"/>
      <c r="M3" s="10" t="s">
        <v>18</v>
      </c>
      <c r="N3" s="3"/>
      <c r="O3" s="11"/>
    </row>
    <row r="4" spans="1:15" ht="15.5" thickTop="1" thickBot="1" x14ac:dyDescent="0.4">
      <c r="A4" s="12"/>
      <c r="B4" s="4">
        <v>2015</v>
      </c>
      <c r="C4" s="4">
        <v>2014</v>
      </c>
      <c r="D4" s="13">
        <v>2013</v>
      </c>
      <c r="G4" s="12" t="s">
        <v>38</v>
      </c>
      <c r="H4" s="4">
        <v>2015</v>
      </c>
      <c r="I4" s="4">
        <v>2014</v>
      </c>
      <c r="J4" s="13">
        <v>2013</v>
      </c>
      <c r="M4" s="12" t="s">
        <v>40</v>
      </c>
      <c r="N4" s="4"/>
      <c r="O4" s="13"/>
    </row>
    <row r="5" spans="1:15" ht="15" thickTop="1" x14ac:dyDescent="0.35">
      <c r="A5" s="24" t="s">
        <v>3</v>
      </c>
      <c r="B5" s="26">
        <v>4300000</v>
      </c>
      <c r="C5" s="26">
        <v>3850000</v>
      </c>
      <c r="D5" s="27">
        <v>3432000</v>
      </c>
      <c r="G5" s="14" t="s">
        <v>19</v>
      </c>
      <c r="H5" s="26">
        <f>I5</f>
        <v>52000</v>
      </c>
      <c r="I5" s="26">
        <v>52000</v>
      </c>
      <c r="J5" s="27">
        <v>57600</v>
      </c>
      <c r="M5" s="14" t="s">
        <v>42</v>
      </c>
      <c r="N5" s="26">
        <f>C15</f>
        <v>44217.237599999993</v>
      </c>
      <c r="O5" s="27"/>
    </row>
    <row r="6" spans="1:15" x14ac:dyDescent="0.35">
      <c r="A6" s="24" t="s">
        <v>4</v>
      </c>
      <c r="B6" s="28">
        <f>AVERAGE(C6/$C$5,D6/$D$5)*$B$5</f>
        <v>3609107.5591075588</v>
      </c>
      <c r="C6" s="28">
        <v>3250000</v>
      </c>
      <c r="D6" s="29">
        <v>2864000</v>
      </c>
      <c r="G6" s="14" t="s">
        <v>36</v>
      </c>
      <c r="H6" s="26">
        <f>$B$5*AVERAGE(J6/$D$5,I6/$C$5)</f>
        <v>444505.16150516149</v>
      </c>
      <c r="I6" s="26">
        <v>402000</v>
      </c>
      <c r="J6" s="27">
        <v>351200</v>
      </c>
      <c r="M6" s="14" t="s">
        <v>13</v>
      </c>
      <c r="N6" s="26">
        <f>C10</f>
        <v>20000</v>
      </c>
      <c r="O6" s="27"/>
    </row>
    <row r="7" spans="1:15" x14ac:dyDescent="0.35">
      <c r="A7" s="22" t="s">
        <v>5</v>
      </c>
      <c r="B7" s="30">
        <f>B5-B6</f>
        <v>690892.4408924412</v>
      </c>
      <c r="C7" s="30">
        <f>C5-C6</f>
        <v>600000</v>
      </c>
      <c r="D7" s="31">
        <f>D5-D6</f>
        <v>568000</v>
      </c>
      <c r="G7" s="14" t="s">
        <v>20</v>
      </c>
      <c r="H7" s="28">
        <f>$B$5*AVERAGE(J7/$D$5,I7/$C$5)</f>
        <v>914899.10089910077</v>
      </c>
      <c r="I7" s="28">
        <v>836000</v>
      </c>
      <c r="J7" s="29">
        <v>715200</v>
      </c>
      <c r="M7" s="14" t="s">
        <v>51</v>
      </c>
      <c r="N7" s="26">
        <f>J6-I6</f>
        <v>-50800</v>
      </c>
      <c r="O7" s="27"/>
    </row>
    <row r="8" spans="1:15" x14ac:dyDescent="0.35">
      <c r="A8" s="24" t="s">
        <v>6</v>
      </c>
      <c r="B8" s="26">
        <f>AVERAGE(C8/$C$5,D8/$D$5)*$B$5</f>
        <v>334802.89710289711</v>
      </c>
      <c r="C8" s="26">
        <v>330300</v>
      </c>
      <c r="D8" s="27">
        <v>240000</v>
      </c>
      <c r="G8" s="15" t="s">
        <v>21</v>
      </c>
      <c r="H8" s="34">
        <f>SUM(H5:H7)</f>
        <v>1411404.2624042623</v>
      </c>
      <c r="I8" s="34">
        <f>SUM(I5:I7)</f>
        <v>1290000</v>
      </c>
      <c r="J8" s="35">
        <f>SUM(J5:J7)</f>
        <v>1124000</v>
      </c>
      <c r="M8" s="14" t="s">
        <v>43</v>
      </c>
      <c r="N8" s="26">
        <f>J7-I7</f>
        <v>-120800</v>
      </c>
      <c r="O8" s="27"/>
    </row>
    <row r="9" spans="1:15" x14ac:dyDescent="0.35">
      <c r="A9" s="24" t="s">
        <v>12</v>
      </c>
      <c r="B9" s="26">
        <f>C9</f>
        <v>100000</v>
      </c>
      <c r="C9" s="26">
        <v>100000</v>
      </c>
      <c r="D9" s="27">
        <v>100000</v>
      </c>
      <c r="G9" s="14" t="s">
        <v>22</v>
      </c>
      <c r="H9" s="26">
        <f>I9+$H$28</f>
        <v>577000</v>
      </c>
      <c r="I9" s="26">
        <v>527000</v>
      </c>
      <c r="J9" s="27">
        <v>491000</v>
      </c>
      <c r="M9" s="14" t="s">
        <v>47</v>
      </c>
      <c r="N9" s="26">
        <f>I14-J14</f>
        <v>29600</v>
      </c>
      <c r="O9" s="27"/>
    </row>
    <row r="10" spans="1:15" x14ac:dyDescent="0.35">
      <c r="A10" s="24" t="s">
        <v>13</v>
      </c>
      <c r="B10" s="28">
        <f>C10+$B$20</f>
        <v>25000</v>
      </c>
      <c r="C10" s="28">
        <v>20000</v>
      </c>
      <c r="D10" s="29">
        <v>18900</v>
      </c>
      <c r="G10" s="14" t="s">
        <v>23</v>
      </c>
      <c r="H10" s="28">
        <f>I10+B10</f>
        <v>191200</v>
      </c>
      <c r="I10" s="28">
        <f>J10+C10</f>
        <v>166200</v>
      </c>
      <c r="J10" s="29">
        <v>146200</v>
      </c>
      <c r="M10" s="14" t="s">
        <v>124</v>
      </c>
      <c r="N10" s="28">
        <f>I16-J16</f>
        <v>4000</v>
      </c>
      <c r="O10" s="29"/>
    </row>
    <row r="11" spans="1:15" ht="15" thickBot="1" x14ac:dyDescent="0.4">
      <c r="A11" s="22" t="s">
        <v>7</v>
      </c>
      <c r="B11" s="30">
        <f>B7-SUM(B8:B10)</f>
        <v>231089.54378954408</v>
      </c>
      <c r="C11" s="30">
        <f>C7-SUM(C8:C10)</f>
        <v>149700</v>
      </c>
      <c r="D11" s="31">
        <f>D7-SUM(D8:D10)</f>
        <v>209100</v>
      </c>
      <c r="G11" s="15" t="s">
        <v>24</v>
      </c>
      <c r="H11" s="34">
        <f>H9-H10</f>
        <v>385800</v>
      </c>
      <c r="I11" s="34">
        <f>I9-I10</f>
        <v>360800</v>
      </c>
      <c r="J11" s="35">
        <f>J9-J10</f>
        <v>344800</v>
      </c>
      <c r="M11" s="41" t="s">
        <v>49</v>
      </c>
      <c r="N11" s="30"/>
      <c r="O11" s="47">
        <f>SUM(N5:N10)</f>
        <v>-73782.762400000007</v>
      </c>
    </row>
    <row r="12" spans="1:15" ht="15.5" thickTop="1" thickBot="1" x14ac:dyDescent="0.4">
      <c r="A12" s="24" t="s">
        <v>8</v>
      </c>
      <c r="B12" s="28">
        <f ca="1">$B$21*(H15+H18)</f>
        <v>80801.314645760984</v>
      </c>
      <c r="C12" s="28">
        <f>$B$21*(I15+I18)</f>
        <v>76004.604000000007</v>
      </c>
      <c r="D12" s="29">
        <v>62500</v>
      </c>
      <c r="G12" s="16" t="s">
        <v>25</v>
      </c>
      <c r="H12" s="30">
        <f>H8+H11</f>
        <v>1797204.2624042623</v>
      </c>
      <c r="I12" s="30">
        <f>I8+I11</f>
        <v>1650800</v>
      </c>
      <c r="J12" s="31">
        <f>J8+J11</f>
        <v>1468800</v>
      </c>
      <c r="M12" s="42" t="s">
        <v>41</v>
      </c>
      <c r="N12" s="43"/>
      <c r="O12" s="44"/>
    </row>
    <row r="13" spans="1:15" ht="15.5" thickTop="1" thickBot="1" x14ac:dyDescent="0.4">
      <c r="A13" s="22" t="s">
        <v>9</v>
      </c>
      <c r="B13" s="30">
        <f ca="1">B11-B12</f>
        <v>150288.2291437831</v>
      </c>
      <c r="C13" s="30">
        <f>C11-C12</f>
        <v>73695.395999999993</v>
      </c>
      <c r="D13" s="31">
        <f>D11-D12</f>
        <v>146600</v>
      </c>
      <c r="G13" s="12" t="s">
        <v>37</v>
      </c>
      <c r="H13" s="5"/>
      <c r="I13" s="5"/>
      <c r="J13" s="17"/>
      <c r="M13" s="14" t="s">
        <v>52</v>
      </c>
      <c r="N13" s="45">
        <f>J9-I9</f>
        <v>-36000</v>
      </c>
      <c r="O13" s="46"/>
    </row>
    <row r="14" spans="1:15" ht="15.5" thickTop="1" thickBot="1" x14ac:dyDescent="0.4">
      <c r="A14" s="24" t="s">
        <v>10</v>
      </c>
      <c r="B14" s="28">
        <f ca="1">B13*$B$19</f>
        <v>60115.29165751324</v>
      </c>
      <c r="C14" s="28">
        <f>C13*$B$19</f>
        <v>29478.1584</v>
      </c>
      <c r="D14" s="29">
        <f>D13*$B$19</f>
        <v>58640</v>
      </c>
      <c r="G14" s="14" t="s">
        <v>26</v>
      </c>
      <c r="H14" s="26">
        <f>$B$5*AVERAGE(J14/$D$5,I14/$C$5)</f>
        <v>189051.08225108229</v>
      </c>
      <c r="I14" s="26">
        <v>175200</v>
      </c>
      <c r="J14" s="27">
        <v>145600</v>
      </c>
      <c r="M14" s="41" t="s">
        <v>49</v>
      </c>
      <c r="N14" s="48"/>
      <c r="O14" s="71">
        <f>N13</f>
        <v>-36000</v>
      </c>
    </row>
    <row r="15" spans="1:15" ht="15.5" thickTop="1" thickBot="1" x14ac:dyDescent="0.4">
      <c r="A15" s="25" t="s">
        <v>11</v>
      </c>
      <c r="B15" s="32">
        <f ca="1">B13-B14</f>
        <v>90172.937486269861</v>
      </c>
      <c r="C15" s="32">
        <f>C13-C14</f>
        <v>44217.237599999993</v>
      </c>
      <c r="D15" s="33">
        <f>D13-D14</f>
        <v>87960</v>
      </c>
      <c r="G15" s="14" t="s">
        <v>27</v>
      </c>
      <c r="H15" s="26">
        <v>225000</v>
      </c>
      <c r="I15" s="26">
        <v>225000</v>
      </c>
      <c r="J15" s="27">
        <v>200000</v>
      </c>
      <c r="M15" s="42" t="s">
        <v>50</v>
      </c>
      <c r="N15" s="43"/>
      <c r="O15" s="44"/>
    </row>
    <row r="16" spans="1:15" ht="15" thickTop="1" x14ac:dyDescent="0.35">
      <c r="G16" s="14" t="s">
        <v>28</v>
      </c>
      <c r="H16" s="28">
        <f>$B$5*AVERAGE(J16/$D$5,I16/$C$5)</f>
        <v>163379.9533799534</v>
      </c>
      <c r="I16" s="28">
        <v>140000</v>
      </c>
      <c r="J16" s="29">
        <v>136000</v>
      </c>
      <c r="M16" s="18" t="s">
        <v>44</v>
      </c>
      <c r="N16" s="26">
        <f>I15-J15</f>
        <v>25000</v>
      </c>
      <c r="O16" s="27"/>
    </row>
    <row r="17" spans="1:15" x14ac:dyDescent="0.35">
      <c r="G17" s="15" t="s">
        <v>29</v>
      </c>
      <c r="H17" s="34">
        <f>SUM(H14:H16)</f>
        <v>577431.03563103569</v>
      </c>
      <c r="I17" s="34">
        <f>SUM(I14:I16)</f>
        <v>540200</v>
      </c>
      <c r="J17" s="35">
        <f>SUM(J14:J16)</f>
        <v>481600</v>
      </c>
      <c r="M17" s="18" t="s">
        <v>45</v>
      </c>
      <c r="N17" s="26">
        <f>I18-J18</f>
        <v>101180</v>
      </c>
      <c r="O17" s="27"/>
    </row>
    <row r="18" spans="1:15" x14ac:dyDescent="0.35">
      <c r="A18" s="1" t="s">
        <v>14</v>
      </c>
      <c r="B18" s="1"/>
      <c r="G18" s="14" t="s">
        <v>30</v>
      </c>
      <c r="H18" s="28">
        <f ca="1">IF(H31=1,H25+H18,I18)</f>
        <v>465609.52688695677</v>
      </c>
      <c r="I18" s="28">
        <v>424612</v>
      </c>
      <c r="J18" s="29">
        <v>323432</v>
      </c>
      <c r="M18" s="18" t="s">
        <v>46</v>
      </c>
      <c r="N18" s="26">
        <f>I20-J20</f>
        <v>0</v>
      </c>
      <c r="O18" s="27"/>
    </row>
    <row r="19" spans="1:15" x14ac:dyDescent="0.35">
      <c r="A19" s="1" t="s">
        <v>15</v>
      </c>
      <c r="B19" s="2">
        <v>0.4</v>
      </c>
      <c r="G19" s="15" t="s">
        <v>31</v>
      </c>
      <c r="H19" s="34">
        <f ca="1">H17+H18</f>
        <v>1043040.5625179925</v>
      </c>
      <c r="I19" s="34">
        <f>I17+I18</f>
        <v>964812</v>
      </c>
      <c r="J19" s="35">
        <f>J17+J18</f>
        <v>805032</v>
      </c>
      <c r="M19" s="18" t="s">
        <v>54</v>
      </c>
      <c r="N19" s="28">
        <f>-(C15-(I21-J21))</f>
        <v>-21997.237599999993</v>
      </c>
      <c r="O19" s="29"/>
    </row>
    <row r="20" spans="1:15" x14ac:dyDescent="0.35">
      <c r="A20" t="s">
        <v>90</v>
      </c>
      <c r="B20" s="70">
        <f>H30</f>
        <v>5000</v>
      </c>
      <c r="G20" s="14" t="s">
        <v>32</v>
      </c>
      <c r="H20" s="26">
        <v>460000</v>
      </c>
      <c r="I20" s="26">
        <v>460000</v>
      </c>
      <c r="J20" s="27">
        <v>460000</v>
      </c>
      <c r="M20" s="41" t="s">
        <v>53</v>
      </c>
      <c r="N20" s="49"/>
      <c r="O20" s="50">
        <f>SUM(N16:N19)</f>
        <v>104182.76240000001</v>
      </c>
    </row>
    <row r="21" spans="1:15" ht="15" thickBot="1" x14ac:dyDescent="0.4">
      <c r="A21" t="s">
        <v>91</v>
      </c>
      <c r="B21" s="69">
        <v>0.11700000000000001</v>
      </c>
      <c r="G21" s="14" t="s">
        <v>33</v>
      </c>
      <c r="H21" s="28">
        <f ca="1">I21+B15+N19</f>
        <v>294163.69988626987</v>
      </c>
      <c r="I21" s="28">
        <v>225988</v>
      </c>
      <c r="J21" s="29">
        <v>203768</v>
      </c>
      <c r="M21" s="38" t="s">
        <v>55</v>
      </c>
      <c r="N21" s="39"/>
      <c r="O21" s="40">
        <f>SUM(O11,O14,O20)</f>
        <v>-5600</v>
      </c>
    </row>
    <row r="22" spans="1:15" x14ac:dyDescent="0.35">
      <c r="G22" s="15" t="s">
        <v>34</v>
      </c>
      <c r="H22" s="36">
        <f ca="1">H20+H21</f>
        <v>754163.69988626987</v>
      </c>
      <c r="I22" s="36">
        <f>I20+I21</f>
        <v>685988</v>
      </c>
      <c r="J22" s="37">
        <f>J20+J21</f>
        <v>663768</v>
      </c>
    </row>
    <row r="23" spans="1:15" ht="15" thickBot="1" x14ac:dyDescent="0.4">
      <c r="G23" s="38" t="s">
        <v>35</v>
      </c>
      <c r="H23" s="39">
        <f ca="1">H19+H22</f>
        <v>1797204.2624042623</v>
      </c>
      <c r="I23" s="39">
        <f>I19+I22</f>
        <v>1650800</v>
      </c>
      <c r="J23" s="40">
        <f>J19+J22</f>
        <v>1468800</v>
      </c>
    </row>
    <row r="25" spans="1:15" x14ac:dyDescent="0.35">
      <c r="G25" t="s">
        <v>95</v>
      </c>
      <c r="H25" s="45">
        <f ca="1">H12-H23</f>
        <v>0</v>
      </c>
      <c r="I25" t="str">
        <f ca="1">IF(H25&gt;0,"Deficit",
IF(H25&lt;0,"Surplus","Balanced"))</f>
        <v>Balanced</v>
      </c>
    </row>
    <row r="26" spans="1:15" x14ac:dyDescent="0.35">
      <c r="G26" t="s">
        <v>97</v>
      </c>
      <c r="H26" s="45">
        <f ca="1">IF(H31=1,H25+H26,H25)</f>
        <v>40997.526886956766</v>
      </c>
    </row>
    <row r="28" spans="1:15" x14ac:dyDescent="0.35">
      <c r="G28" t="s">
        <v>92</v>
      </c>
      <c r="H28">
        <v>50000</v>
      </c>
    </row>
    <row r="29" spans="1:15" x14ac:dyDescent="0.35">
      <c r="G29" t="s">
        <v>93</v>
      </c>
      <c r="H29">
        <v>10</v>
      </c>
    </row>
    <row r="30" spans="1:15" x14ac:dyDescent="0.35">
      <c r="G30" t="s">
        <v>94</v>
      </c>
      <c r="H30" s="70">
        <f>SLN(H28,0,H29)</f>
        <v>5000</v>
      </c>
    </row>
    <row r="31" spans="1:15" x14ac:dyDescent="0.35">
      <c r="G31" t="s">
        <v>96</v>
      </c>
      <c r="H31">
        <v>1</v>
      </c>
      <c r="I31" t="str">
        <f>IF(H31=1,"Iteration is 
ON","")</f>
        <v>Iteration is 
ON</v>
      </c>
    </row>
    <row r="32" spans="1:15" ht="15" thickBot="1" x14ac:dyDescent="0.4"/>
    <row r="33" spans="2:4" ht="15.5" thickTop="1" thickBot="1" x14ac:dyDescent="0.4">
      <c r="B33" s="74" t="s">
        <v>98</v>
      </c>
      <c r="C33" s="74" t="s">
        <v>3</v>
      </c>
      <c r="D33" s="74" t="s">
        <v>99</v>
      </c>
    </row>
    <row r="34" spans="2:4" ht="15.5" thickTop="1" thickBot="1" x14ac:dyDescent="0.4">
      <c r="B34" s="72">
        <v>2010</v>
      </c>
      <c r="C34" s="73">
        <v>1890532</v>
      </c>
      <c r="D34" s="73">
        <v>1570200</v>
      </c>
    </row>
    <row r="35" spans="2:4" ht="15.5" thickTop="1" thickBot="1" x14ac:dyDescent="0.4">
      <c r="B35" s="72">
        <v>2011</v>
      </c>
      <c r="C35" s="73">
        <v>2098490</v>
      </c>
      <c r="D35" s="73">
        <v>1695694</v>
      </c>
    </row>
    <row r="36" spans="2:4" ht="15.5" thickTop="1" thickBot="1" x14ac:dyDescent="0.4">
      <c r="B36" s="72">
        <v>2012</v>
      </c>
      <c r="C36" s="73">
        <v>2350308</v>
      </c>
      <c r="D36" s="73">
        <v>1992400</v>
      </c>
    </row>
    <row r="37" spans="2:4" ht="15.5" thickTop="1" thickBot="1" x14ac:dyDescent="0.4">
      <c r="B37" s="72">
        <v>2013</v>
      </c>
      <c r="C37" s="73">
        <v>3432000</v>
      </c>
      <c r="D37" s="73">
        <v>2864000</v>
      </c>
    </row>
    <row r="38" spans="2:4" ht="15.5" thickTop="1" thickBot="1" x14ac:dyDescent="0.4">
      <c r="B38" s="72">
        <v>2014</v>
      </c>
      <c r="C38" s="73">
        <v>3850000</v>
      </c>
      <c r="D38" s="73">
        <v>3250000</v>
      </c>
    </row>
    <row r="39" spans="2:4" ht="15.5" thickTop="1" thickBot="1" x14ac:dyDescent="0.4">
      <c r="B39" s="72">
        <v>2015</v>
      </c>
      <c r="C39" s="75" cm="1">
        <f t="array" ref="C39">TREND(C$34:C38,B$34:B38,B39,TRUE)</f>
        <v>4299999.8000000715</v>
      </c>
      <c r="D39" s="75">
        <f>C39*'Regression Results'!$B$18+'Regression Results'!$B$17</f>
        <v>3626854.5042988481</v>
      </c>
    </row>
    <row r="40" spans="2:4" ht="15.5" thickTop="1" thickBot="1" x14ac:dyDescent="0.4">
      <c r="B40" s="72">
        <v>2016</v>
      </c>
      <c r="C40" s="75" cm="1">
        <f t="array" ref="C40">TREND(C$34:C39,B$34:B39,B40,TRUE)</f>
        <v>4825244.4000000954</v>
      </c>
      <c r="D40" s="75">
        <f>C40*'Regression Results'!$B$18+'Regression Results'!$B$17</f>
        <v>4077653.0723984637</v>
      </c>
    </row>
    <row r="41" spans="2:4" ht="15.5" thickTop="1" thickBot="1" x14ac:dyDescent="0.4">
      <c r="B41" s="72">
        <v>2017</v>
      </c>
      <c r="C41" s="75" cm="1">
        <f t="array" ref="C41">TREND(C$34:C40,B$34:B40,B41,TRUE)</f>
        <v>5350489</v>
      </c>
      <c r="D41" s="75">
        <f>C41*'Regression Results'!$B$18+'Regression Results'!$B$17</f>
        <v>4528451.6404979778</v>
      </c>
    </row>
    <row r="42" spans="2:4" ht="15" thickTop="1" x14ac:dyDescent="0.35"/>
  </sheetData>
  <pageMargins left="0.7" right="0.7" top="0.75" bottom="0.75" header="0.3" footer="0.3"/>
  <ignoredErrors>
    <ignoredError sqref="B14:D14 B7" formula="1"/>
    <ignoredError sqref="I8:J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9951-7689-4D2C-A6BD-A70F7B00DFFE}">
  <dimension ref="A1:I18"/>
  <sheetViews>
    <sheetView workbookViewId="0">
      <selection activeCell="B18" sqref="B18"/>
    </sheetView>
  </sheetViews>
  <sheetFormatPr defaultRowHeight="14.5" x14ac:dyDescent="0.35"/>
  <cols>
    <col min="1" max="1" width="16.6328125" customWidth="1"/>
    <col min="2" max="2" width="11.1796875" customWidth="1"/>
    <col min="3" max="3" width="12.81640625" customWidth="1"/>
    <col min="4" max="4" width="12.36328125" customWidth="1"/>
    <col min="5" max="5" width="14.1796875" customWidth="1"/>
    <col min="6" max="6" width="15" customWidth="1"/>
    <col min="7" max="7" width="13.54296875" customWidth="1"/>
    <col min="8" max="8" width="13.7265625" customWidth="1"/>
    <col min="9" max="9" width="12.36328125" customWidth="1"/>
  </cols>
  <sheetData>
    <row r="1" spans="1:9" x14ac:dyDescent="0.35">
      <c r="A1" t="s">
        <v>100</v>
      </c>
    </row>
    <row r="2" spans="1:9" ht="15" thickBot="1" x14ac:dyDescent="0.4"/>
    <row r="3" spans="1:9" x14ac:dyDescent="0.35">
      <c r="A3" s="78" t="s">
        <v>101</v>
      </c>
      <c r="B3" s="78"/>
    </row>
    <row r="4" spans="1:9" x14ac:dyDescent="0.35">
      <c r="A4" t="s">
        <v>102</v>
      </c>
      <c r="B4" s="79">
        <v>0.99914304855566816</v>
      </c>
    </row>
    <row r="5" spans="1:9" x14ac:dyDescent="0.35">
      <c r="A5" t="s">
        <v>103</v>
      </c>
      <c r="B5" s="79">
        <v>0.99828683147711417</v>
      </c>
    </row>
    <row r="6" spans="1:9" x14ac:dyDescent="0.35">
      <c r="A6" t="s">
        <v>104</v>
      </c>
      <c r="B6" s="79">
        <v>0.99771577530281885</v>
      </c>
    </row>
    <row r="7" spans="1:9" x14ac:dyDescent="0.35">
      <c r="A7" t="s">
        <v>105</v>
      </c>
      <c r="B7">
        <v>35523.076579369372</v>
      </c>
    </row>
    <row r="8" spans="1:9" ht="15" thickBot="1" x14ac:dyDescent="0.4">
      <c r="A8" s="76" t="s">
        <v>106</v>
      </c>
      <c r="B8" s="76">
        <v>5</v>
      </c>
    </row>
    <row r="10" spans="1:9" ht="15" thickBot="1" x14ac:dyDescent="0.4">
      <c r="A10" t="s">
        <v>107</v>
      </c>
    </row>
    <row r="11" spans="1:9" x14ac:dyDescent="0.35">
      <c r="A11" s="77"/>
      <c r="B11" s="77" t="s">
        <v>112</v>
      </c>
      <c r="C11" s="77" t="s">
        <v>113</v>
      </c>
      <c r="D11" s="77" t="s">
        <v>114</v>
      </c>
      <c r="E11" s="77" t="s">
        <v>115</v>
      </c>
      <c r="F11" s="77" t="s">
        <v>116</v>
      </c>
    </row>
    <row r="12" spans="1:9" x14ac:dyDescent="0.35">
      <c r="A12" t="s">
        <v>108</v>
      </c>
      <c r="B12">
        <v>1</v>
      </c>
      <c r="C12">
        <v>2205960110239.8086</v>
      </c>
      <c r="D12">
        <v>2205960110239.8086</v>
      </c>
      <c r="E12">
        <v>1748.1412099415031</v>
      </c>
      <c r="F12">
        <v>3.0110110324891188E-5</v>
      </c>
    </row>
    <row r="13" spans="1:9" x14ac:dyDescent="0.35">
      <c r="A13" t="s">
        <v>109</v>
      </c>
      <c r="B13">
        <v>3</v>
      </c>
      <c r="C13">
        <v>3785666908.9912224</v>
      </c>
      <c r="D13">
        <v>1261888969.6637409</v>
      </c>
    </row>
    <row r="14" spans="1:9" ht="15" thickBot="1" x14ac:dyDescent="0.4">
      <c r="A14" s="76" t="s">
        <v>110</v>
      </c>
      <c r="B14" s="76">
        <v>4</v>
      </c>
      <c r="C14" s="76">
        <v>2209745777148.7998</v>
      </c>
      <c r="D14" s="76"/>
      <c r="E14" s="76"/>
      <c r="F14" s="76"/>
    </row>
    <row r="15" spans="1:9" ht="15" thickBot="1" x14ac:dyDescent="0.4"/>
    <row r="16" spans="1:9" x14ac:dyDescent="0.35">
      <c r="A16" s="77"/>
      <c r="B16" s="77" t="s">
        <v>117</v>
      </c>
      <c r="C16" s="77" t="s">
        <v>105</v>
      </c>
      <c r="D16" s="77" t="s">
        <v>118</v>
      </c>
      <c r="E16" s="77" t="s">
        <v>119</v>
      </c>
      <c r="F16" s="77" t="s">
        <v>120</v>
      </c>
      <c r="G16" s="77" t="s">
        <v>121</v>
      </c>
      <c r="H16" s="77" t="s">
        <v>122</v>
      </c>
      <c r="I16" s="77" t="s">
        <v>123</v>
      </c>
    </row>
    <row r="17" spans="1:9" x14ac:dyDescent="0.35">
      <c r="A17" t="s">
        <v>111</v>
      </c>
      <c r="B17">
        <v>-63680.824705162086</v>
      </c>
      <c r="C17">
        <v>58134.676000408443</v>
      </c>
      <c r="D17">
        <v>-1.0954017307108528</v>
      </c>
      <c r="E17">
        <v>0.35340373809769626</v>
      </c>
      <c r="F17">
        <v>-248691.30955152746</v>
      </c>
      <c r="G17">
        <v>121329.66014120329</v>
      </c>
      <c r="H17">
        <v>-248691.30955152746</v>
      </c>
      <c r="I17">
        <v>121329.66014120329</v>
      </c>
    </row>
    <row r="18" spans="1:9" ht="15" thickBot="1" x14ac:dyDescent="0.4">
      <c r="A18" s="76" t="s">
        <v>3</v>
      </c>
      <c r="B18" s="76">
        <v>0.85826406992017734</v>
      </c>
      <c r="C18" s="76">
        <v>2.0527340029779531E-2</v>
      </c>
      <c r="D18" s="76">
        <v>41.810778633523483</v>
      </c>
      <c r="E18" s="76">
        <v>3.0110110324891134E-5</v>
      </c>
      <c r="F18" s="76">
        <v>0.79293691248510312</v>
      </c>
      <c r="G18" s="76">
        <v>0.92359122735525157</v>
      </c>
      <c r="H18" s="76">
        <v>0.79293691248510312</v>
      </c>
      <c r="I18" s="76">
        <v>0.92359122735525157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2EF8-6598-4145-8892-DABBDA40B1F6}">
  <dimension ref="A1:D20"/>
  <sheetViews>
    <sheetView tabSelected="1" topLeftCell="A2" workbookViewId="0">
      <selection activeCell="D20" sqref="D20"/>
    </sheetView>
  </sheetViews>
  <sheetFormatPr defaultRowHeight="14.5" x14ac:dyDescent="0.35"/>
  <cols>
    <col min="1" max="1" width="27.453125" customWidth="1"/>
    <col min="2" max="2" width="13.08984375" customWidth="1"/>
    <col min="4" max="4" width="11.90625" bestFit="1" customWidth="1"/>
  </cols>
  <sheetData>
    <row r="1" spans="1:4" ht="15" thickTop="1" x14ac:dyDescent="0.35">
      <c r="A1" s="7" t="s">
        <v>0</v>
      </c>
      <c r="B1" s="8"/>
      <c r="C1" s="19"/>
      <c r="D1" s="20"/>
    </row>
    <row r="2" spans="1:4" x14ac:dyDescent="0.35">
      <c r="A2" s="10" t="s">
        <v>1</v>
      </c>
      <c r="B2" s="3"/>
      <c r="C2" s="6"/>
      <c r="D2" s="21"/>
    </row>
    <row r="3" spans="1:4" ht="15" thickBot="1" x14ac:dyDescent="0.4">
      <c r="A3" s="10" t="s">
        <v>127</v>
      </c>
      <c r="B3" s="3"/>
      <c r="C3" s="6"/>
      <c r="D3" s="21"/>
    </row>
    <row r="4" spans="1:4" ht="15.5" thickTop="1" thickBot="1" x14ac:dyDescent="0.4">
      <c r="A4" s="12"/>
      <c r="B4" s="4"/>
      <c r="C4" s="4"/>
      <c r="D4" s="13">
        <v>2020</v>
      </c>
    </row>
    <row r="5" spans="1:4" ht="15" thickTop="1" x14ac:dyDescent="0.35">
      <c r="A5" s="24" t="s">
        <v>3</v>
      </c>
      <c r="B5" s="26"/>
      <c r="C5" s="26"/>
      <c r="D5" s="82">
        <f>D15*D16</f>
        <v>2500000</v>
      </c>
    </row>
    <row r="6" spans="1:4" x14ac:dyDescent="0.35">
      <c r="A6" s="14" t="s">
        <v>125</v>
      </c>
      <c r="B6" s="26"/>
      <c r="C6" s="26"/>
      <c r="D6" s="82">
        <f>D5*D17</f>
        <v>1500000</v>
      </c>
    </row>
    <row r="7" spans="1:4" x14ac:dyDescent="0.35">
      <c r="A7" s="14" t="s">
        <v>126</v>
      </c>
      <c r="B7" s="26"/>
      <c r="C7" s="26"/>
      <c r="D7" s="83">
        <v>400000</v>
      </c>
    </row>
    <row r="8" spans="1:4" x14ac:dyDescent="0.35">
      <c r="A8" s="22" t="s">
        <v>7</v>
      </c>
      <c r="B8" s="30"/>
      <c r="C8" s="30"/>
      <c r="D8" s="84">
        <f>D5-D6-D7</f>
        <v>600000</v>
      </c>
    </row>
    <row r="9" spans="1:4" x14ac:dyDescent="0.35">
      <c r="A9" s="14" t="s">
        <v>8</v>
      </c>
      <c r="B9" s="28"/>
      <c r="C9" s="28"/>
      <c r="D9" s="83">
        <v>100000</v>
      </c>
    </row>
    <row r="10" spans="1:4" x14ac:dyDescent="0.35">
      <c r="A10" s="22" t="s">
        <v>9</v>
      </c>
      <c r="B10" s="30"/>
      <c r="C10" s="30"/>
      <c r="D10" s="84">
        <f>D8-D9</f>
        <v>500000</v>
      </c>
    </row>
    <row r="11" spans="1:4" x14ac:dyDescent="0.35">
      <c r="A11" s="14" t="s">
        <v>10</v>
      </c>
      <c r="B11" s="28"/>
      <c r="C11" s="28"/>
      <c r="D11" s="83">
        <v>125000</v>
      </c>
    </row>
    <row r="12" spans="1:4" ht="15" thickBot="1" x14ac:dyDescent="0.4">
      <c r="A12" s="25" t="s">
        <v>11</v>
      </c>
      <c r="B12" s="32"/>
      <c r="C12" s="32"/>
      <c r="D12" s="85">
        <f>D10-D11</f>
        <v>375000</v>
      </c>
    </row>
    <row r="13" spans="1:4" ht="15.5" thickTop="1" thickBot="1" x14ac:dyDescent="0.4"/>
    <row r="14" spans="1:4" ht="15.5" thickTop="1" thickBot="1" x14ac:dyDescent="0.4">
      <c r="A14" s="80" t="s">
        <v>128</v>
      </c>
      <c r="B14" s="81"/>
      <c r="C14" s="81"/>
      <c r="D14" s="81"/>
    </row>
    <row r="15" spans="1:4" ht="15" thickTop="1" x14ac:dyDescent="0.35">
      <c r="A15" t="s">
        <v>129</v>
      </c>
      <c r="D15">
        <v>16</v>
      </c>
    </row>
    <row r="16" spans="1:4" x14ac:dyDescent="0.35">
      <c r="A16" t="s">
        <v>130</v>
      </c>
      <c r="D16">
        <v>156250</v>
      </c>
    </row>
    <row r="17" spans="1:4" x14ac:dyDescent="0.35">
      <c r="A17" t="s">
        <v>131</v>
      </c>
      <c r="D17" s="2">
        <v>0.6</v>
      </c>
    </row>
    <row r="18" spans="1:4" x14ac:dyDescent="0.35">
      <c r="A18" t="s">
        <v>132</v>
      </c>
      <c r="D18" s="2">
        <v>0.25</v>
      </c>
    </row>
    <row r="20" spans="1:4" x14ac:dyDescent="0.35">
      <c r="A20" t="s">
        <v>133</v>
      </c>
      <c r="D20">
        <f>D7/(D15-D6/D16)</f>
        <v>62500</v>
      </c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AND BALANCE SHEET</vt:lpstr>
      <vt:lpstr>COMPLEX CASH BUDGETS</vt:lpstr>
      <vt:lpstr>FORECAST</vt:lpstr>
      <vt:lpstr>Regression Results</vt:lpstr>
      <vt:lpstr>Break 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abdulrashid jibrin</dc:creator>
  <cp:lastModifiedBy>ABDULRASHID JIBRIN</cp:lastModifiedBy>
  <dcterms:created xsi:type="dcterms:W3CDTF">2024-05-24T14:48:02Z</dcterms:created>
  <dcterms:modified xsi:type="dcterms:W3CDTF">2025-04-05T02:28:30Z</dcterms:modified>
</cp:coreProperties>
</file>